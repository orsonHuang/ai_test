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ersonal\Desktop\"/>
    </mc:Choice>
  </mc:AlternateContent>
  <xr:revisionPtr revIDLastSave="0" documentId="13_ncr:1_{9114EA2A-41C0-42DC-9D88-66CB33563C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需求主页" sheetId="4" r:id="rId1"/>
    <sheet name="公式演算" sheetId="3" r:id="rId2"/>
    <sheet name="草稿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3" l="1"/>
  <c r="M9" i="3"/>
  <c r="M8" i="3"/>
  <c r="M7" i="3"/>
  <c r="V5" i="3"/>
  <c r="V6" i="3"/>
  <c r="V7" i="3"/>
  <c r="V8" i="3"/>
  <c r="V9" i="3"/>
  <c r="V10" i="3"/>
  <c r="V11" i="3"/>
  <c r="V12" i="3"/>
  <c r="V4" i="3"/>
  <c r="G5" i="3"/>
  <c r="G3" i="3"/>
  <c r="F8" i="3"/>
  <c r="E8" i="3"/>
  <c r="D8" i="3"/>
  <c r="F12" i="3"/>
  <c r="E12" i="3"/>
  <c r="D12" i="3"/>
  <c r="F6" i="3"/>
  <c r="E6" i="3"/>
  <c r="D6" i="3"/>
  <c r="Q99" i="5"/>
  <c r="S97" i="5"/>
  <c r="V96" i="5"/>
  <c r="O96" i="5"/>
  <c r="U94" i="5"/>
  <c r="Q94" i="5"/>
  <c r="L77" i="5"/>
  <c r="J77" i="5"/>
  <c r="I77" i="5"/>
  <c r="F77" i="5"/>
  <c r="F73" i="5"/>
  <c r="E73" i="5"/>
  <c r="C73" i="5"/>
  <c r="O98" i="5" s="1"/>
  <c r="F72" i="5"/>
  <c r="O97" i="5" s="1"/>
  <c r="E72" i="5"/>
  <c r="C72" i="5"/>
  <c r="F71" i="5"/>
  <c r="E71" i="5"/>
  <c r="I68" i="5"/>
  <c r="H59" i="5"/>
  <c r="H53" i="5"/>
  <c r="H54" i="5" s="1"/>
  <c r="R52" i="5"/>
  <c r="Q52" i="5"/>
  <c r="S52" i="5" s="1"/>
  <c r="S51" i="5"/>
  <c r="R51" i="5"/>
  <c r="Q51" i="5"/>
  <c r="R50" i="5"/>
  <c r="Q50" i="5"/>
  <c r="S50" i="5" s="1"/>
  <c r="S49" i="5"/>
  <c r="R49" i="5"/>
  <c r="Q49" i="5"/>
  <c r="R48" i="5"/>
  <c r="Q48" i="5"/>
  <c r="S48" i="5" s="1"/>
  <c r="U48" i="5" s="1"/>
  <c r="V48" i="5" s="1"/>
  <c r="S47" i="5"/>
  <c r="R47" i="5"/>
  <c r="Q47" i="5"/>
  <c r="J46" i="5"/>
  <c r="I46" i="5"/>
  <c r="H46" i="5"/>
  <c r="H45" i="5"/>
  <c r="H47" i="5" s="1"/>
  <c r="J44" i="5"/>
  <c r="J53" i="5" s="1"/>
  <c r="I44" i="5"/>
  <c r="H44" i="5"/>
  <c r="H43" i="5"/>
  <c r="J42" i="5"/>
  <c r="J43" i="5" s="1"/>
  <c r="I42" i="5"/>
  <c r="I43" i="5" s="1"/>
  <c r="H42" i="5"/>
  <c r="H41" i="5"/>
  <c r="J40" i="5"/>
  <c r="J59" i="5" s="1"/>
  <c r="I40" i="5"/>
  <c r="H40" i="5"/>
  <c r="J37" i="5"/>
  <c r="I37" i="5"/>
  <c r="S94" i="5" s="1"/>
  <c r="H37" i="5"/>
  <c r="H61" i="5" s="1"/>
  <c r="N35" i="5"/>
  <c r="O35" i="5" s="1"/>
  <c r="N33" i="5"/>
  <c r="O34" i="5" s="1"/>
  <c r="X30" i="5"/>
  <c r="S30" i="5"/>
  <c r="R30" i="5"/>
  <c r="P30" i="5"/>
  <c r="R29" i="5"/>
  <c r="P29" i="5"/>
  <c r="R28" i="5"/>
  <c r="P28" i="5"/>
  <c r="X28" i="5" s="1"/>
  <c r="X27" i="5"/>
  <c r="S27" i="5"/>
  <c r="R27" i="5"/>
  <c r="P27" i="5"/>
  <c r="R26" i="5"/>
  <c r="P26" i="5"/>
  <c r="R25" i="5"/>
  <c r="P25" i="5"/>
  <c r="X25" i="5" s="1"/>
  <c r="X24" i="5"/>
  <c r="S24" i="5"/>
  <c r="R24" i="5"/>
  <c r="P24" i="5"/>
  <c r="R23" i="5"/>
  <c r="P23" i="5"/>
  <c r="R22" i="5"/>
  <c r="P22" i="5"/>
  <c r="X22" i="5" s="1"/>
  <c r="L16" i="5"/>
  <c r="J16" i="5"/>
  <c r="I16" i="5"/>
  <c r="F16" i="5"/>
  <c r="AA12" i="5"/>
  <c r="U12" i="5"/>
  <c r="F12" i="5"/>
  <c r="Y12" i="5" s="1"/>
  <c r="E12" i="5"/>
  <c r="C12" i="5"/>
  <c r="R12" i="5" s="1"/>
  <c r="F11" i="5"/>
  <c r="E11" i="5"/>
  <c r="C11" i="5"/>
  <c r="O11" i="5" s="1"/>
  <c r="F10" i="5"/>
  <c r="Y10" i="5" s="1"/>
  <c r="E10" i="5"/>
  <c r="C10" i="5"/>
  <c r="I7" i="5"/>
  <c r="E3" i="5"/>
  <c r="D43" i="4"/>
  <c r="C43" i="4"/>
  <c r="D11" i="3" l="1"/>
  <c r="D13" i="3" s="1"/>
  <c r="D14" i="3" s="1"/>
  <c r="D16" i="3" s="1"/>
  <c r="G16" i="3" s="1"/>
  <c r="E31" i="3"/>
  <c r="D31" i="3"/>
  <c r="F31" i="3"/>
  <c r="E40" i="4"/>
  <c r="G40" i="4" s="1"/>
  <c r="I40" i="4" s="1"/>
  <c r="E11" i="3"/>
  <c r="F11" i="3"/>
  <c r="F13" i="3" s="1"/>
  <c r="F14" i="3" s="1"/>
  <c r="U98" i="5"/>
  <c r="S98" i="5"/>
  <c r="H73" i="5"/>
  <c r="T98" i="5"/>
  <c r="R98" i="5"/>
  <c r="Q98" i="5"/>
  <c r="V98" i="5"/>
  <c r="O103" i="5"/>
  <c r="S16" i="5"/>
  <c r="R16" i="5"/>
  <c r="V16" i="5"/>
  <c r="P16" i="5"/>
  <c r="O16" i="5"/>
  <c r="H52" i="5"/>
  <c r="U50" i="5"/>
  <c r="V50" i="5" s="1"/>
  <c r="O10" i="5"/>
  <c r="U10" i="5"/>
  <c r="T10" i="5"/>
  <c r="O12" i="5"/>
  <c r="X23" i="5"/>
  <c r="X33" i="5" s="1"/>
  <c r="S23" i="5"/>
  <c r="I53" i="5"/>
  <c r="I45" i="5"/>
  <c r="J57" i="5"/>
  <c r="J58" i="5" s="1"/>
  <c r="J55" i="5"/>
  <c r="J56" i="5" s="1"/>
  <c r="J61" i="5"/>
  <c r="J54" i="5"/>
  <c r="H63" i="5" s="1"/>
  <c r="U16" i="5"/>
  <c r="X26" i="5"/>
  <c r="S26" i="5"/>
  <c r="H48" i="5"/>
  <c r="H51" i="5"/>
  <c r="H49" i="5"/>
  <c r="H50" i="5" s="1"/>
  <c r="U52" i="5"/>
  <c r="V52" i="5" s="1"/>
  <c r="K77" i="5"/>
  <c r="T52" i="5"/>
  <c r="T50" i="5"/>
  <c r="T48" i="5"/>
  <c r="K16" i="5"/>
  <c r="U49" i="5"/>
  <c r="V49" i="5" s="1"/>
  <c r="U47" i="5"/>
  <c r="V47" i="5" s="1"/>
  <c r="U51" i="5"/>
  <c r="V51" i="5" s="1"/>
  <c r="T51" i="5"/>
  <c r="T49" i="5"/>
  <c r="T47" i="5"/>
  <c r="R10" i="5"/>
  <c r="T12" i="5"/>
  <c r="W12" i="5" s="1"/>
  <c r="Z12" i="5" s="1"/>
  <c r="U96" i="5"/>
  <c r="H71" i="5"/>
  <c r="O101" i="5"/>
  <c r="T96" i="5"/>
  <c r="S96" i="5"/>
  <c r="R96" i="5"/>
  <c r="Q96" i="5"/>
  <c r="X29" i="5"/>
  <c r="S29" i="5"/>
  <c r="I59" i="5"/>
  <c r="I41" i="5"/>
  <c r="O102" i="5"/>
  <c r="R97" i="5"/>
  <c r="V97" i="5"/>
  <c r="Q97" i="5"/>
  <c r="U97" i="5"/>
  <c r="T97" i="5"/>
  <c r="H72" i="5"/>
  <c r="H55" i="5"/>
  <c r="H56" i="5" s="1"/>
  <c r="H57" i="5"/>
  <c r="H58" i="5" s="1"/>
  <c r="J41" i="5"/>
  <c r="J45" i="5"/>
  <c r="S22" i="5"/>
  <c r="S33" i="5" s="1"/>
  <c r="S25" i="5"/>
  <c r="S28" i="5"/>
  <c r="E43" i="4"/>
  <c r="D30" i="3" l="1"/>
  <c r="D17" i="3"/>
  <c r="D19" i="3"/>
  <c r="F40" i="4"/>
  <c r="H40" i="4" s="1"/>
  <c r="F30" i="3"/>
  <c r="F16" i="3"/>
  <c r="I16" i="3" s="1"/>
  <c r="F17" i="3"/>
  <c r="I17" i="3" s="1"/>
  <c r="E13" i="3"/>
  <c r="E14" i="3" s="1"/>
  <c r="E30" i="3"/>
  <c r="I47" i="5"/>
  <c r="S99" i="5"/>
  <c r="U99" i="5"/>
  <c r="V103" i="5" s="1"/>
  <c r="J47" i="5"/>
  <c r="I57" i="5"/>
  <c r="I58" i="5" s="1"/>
  <c r="I55" i="5"/>
  <c r="I56" i="5" s="1"/>
  <c r="I54" i="5"/>
  <c r="I61" i="5"/>
  <c r="S15" i="5"/>
  <c r="R15" i="5"/>
  <c r="P15" i="5"/>
  <c r="O15" i="5"/>
  <c r="V15" i="5"/>
  <c r="U15" i="5"/>
  <c r="I63" i="5"/>
  <c r="J63" i="5"/>
  <c r="J73" i="5"/>
  <c r="I73" i="5"/>
  <c r="U103" i="5"/>
  <c r="T103" i="5"/>
  <c r="S103" i="5"/>
  <c r="R103" i="5"/>
  <c r="Q103" i="5"/>
  <c r="Q101" i="5"/>
  <c r="U101" i="5"/>
  <c r="V101" i="5"/>
  <c r="T101" i="5"/>
  <c r="S101" i="5"/>
  <c r="R101" i="5"/>
  <c r="P10" i="5"/>
  <c r="H10" i="5" s="1"/>
  <c r="S17" i="5"/>
  <c r="R17" i="5"/>
  <c r="P17" i="5"/>
  <c r="V17" i="5"/>
  <c r="O17" i="5"/>
  <c r="U17" i="5"/>
  <c r="J72" i="5"/>
  <c r="I72" i="5"/>
  <c r="V102" i="5"/>
  <c r="T102" i="5"/>
  <c r="U102" i="5"/>
  <c r="S102" i="5"/>
  <c r="R102" i="5"/>
  <c r="Q102" i="5"/>
  <c r="P12" i="5"/>
  <c r="H12" i="5" s="1"/>
  <c r="J71" i="5"/>
  <c r="I71" i="5"/>
  <c r="W10" i="5"/>
  <c r="Z10" i="5" s="1"/>
  <c r="G43" i="4"/>
  <c r="I43" i="4" s="1"/>
  <c r="F43" i="4"/>
  <c r="H43" i="4" s="1"/>
  <c r="D25" i="3" l="1"/>
  <c r="D22" i="3"/>
  <c r="D20" i="3"/>
  <c r="G17" i="3"/>
  <c r="E16" i="3"/>
  <c r="H16" i="3" s="1"/>
  <c r="E17" i="3"/>
  <c r="H17" i="3" s="1"/>
  <c r="F20" i="3"/>
  <c r="F19" i="3"/>
  <c r="J12" i="5"/>
  <c r="I12" i="5"/>
  <c r="K72" i="5"/>
  <c r="M97" i="5" s="1"/>
  <c r="L72" i="5"/>
  <c r="N97" i="5" s="1"/>
  <c r="K63" i="5"/>
  <c r="L63" i="5"/>
  <c r="M63" i="5" s="1"/>
  <c r="J10" i="5"/>
  <c r="I10" i="5"/>
  <c r="H11" i="5"/>
  <c r="J51" i="5"/>
  <c r="J52" i="5" s="1"/>
  <c r="J49" i="5"/>
  <c r="J50" i="5" s="1"/>
  <c r="J48" i="5"/>
  <c r="I49" i="5"/>
  <c r="I50" i="5" s="1"/>
  <c r="I51" i="5"/>
  <c r="I52" i="5" s="1"/>
  <c r="I48" i="5"/>
  <c r="K71" i="5"/>
  <c r="M96" i="5" s="1"/>
  <c r="L71" i="5"/>
  <c r="N96" i="5" s="1"/>
  <c r="K73" i="5"/>
  <c r="M98" i="5" s="1"/>
  <c r="L73" i="5"/>
  <c r="N98" i="5" s="1"/>
  <c r="D23" i="3" l="1"/>
  <c r="D26" i="3"/>
  <c r="F22" i="3"/>
  <c r="F25" i="3"/>
  <c r="F26" i="3"/>
  <c r="F23" i="3"/>
  <c r="E20" i="3"/>
  <c r="E19" i="3"/>
  <c r="M4" i="3"/>
  <c r="N4" i="3" s="1"/>
  <c r="M3" i="3"/>
  <c r="N3" i="3" s="1"/>
  <c r="J11" i="5"/>
  <c r="I11" i="5"/>
  <c r="K10" i="5"/>
  <c r="L10" i="5"/>
  <c r="L12" i="5"/>
  <c r="K12" i="5"/>
  <c r="E26" i="3" l="1"/>
  <c r="E23" i="3"/>
  <c r="E25" i="3"/>
  <c r="E22" i="3"/>
  <c r="M5" i="3"/>
  <c r="M6" i="3"/>
  <c r="Q6" i="5"/>
  <c r="M12" i="5"/>
  <c r="N16" i="5" s="1"/>
  <c r="N6" i="5"/>
  <c r="R6" i="5"/>
  <c r="N12" i="5"/>
  <c r="P6" i="5"/>
  <c r="O6" i="5"/>
  <c r="R4" i="5"/>
  <c r="P4" i="5"/>
  <c r="N10" i="5"/>
  <c r="O4" i="5"/>
  <c r="S4" i="5"/>
  <c r="Q4" i="5"/>
  <c r="M10" i="5"/>
  <c r="N14" i="5" s="1"/>
  <c r="N4" i="5"/>
  <c r="L11" i="5"/>
  <c r="K11" i="5"/>
  <c r="Q5" i="5" l="1"/>
  <c r="M11" i="5"/>
  <c r="N15" i="5" s="1"/>
  <c r="N5" i="5"/>
  <c r="R5" i="5"/>
  <c r="N11" i="5"/>
  <c r="P5" i="5"/>
  <c r="O5" i="5"/>
</calcChain>
</file>

<file path=xl/sharedStrings.xml><?xml version="1.0" encoding="utf-8"?>
<sst xmlns="http://schemas.openxmlformats.org/spreadsheetml/2006/main" count="262" uniqueCount="161">
  <si>
    <t>玩家分数</t>
  </si>
  <si>
    <t>段位</t>
  </si>
  <si>
    <t>匹配结果</t>
  </si>
  <si>
    <t>对手最小分数</t>
  </si>
  <si>
    <t>Rmin</t>
  </si>
  <si>
    <t>Rmax</t>
  </si>
  <si>
    <t>R</t>
  </si>
  <si>
    <t>对手最大分数</t>
  </si>
  <si>
    <t>最小胜率</t>
  </si>
  <si>
    <t>最大胜率</t>
  </si>
  <si>
    <t>C</t>
  </si>
  <si>
    <t>最小得分</t>
  </si>
  <si>
    <t>i</t>
  </si>
  <si>
    <t>最大得分</t>
  </si>
  <si>
    <t>R/Rmax</t>
  </si>
  <si>
    <t>最小扣分</t>
  </si>
  <si>
    <t>最大扣分</t>
  </si>
  <si>
    <t>C*i</t>
  </si>
  <si>
    <t>a</t>
  </si>
  <si>
    <t>-</t>
  </si>
  <si>
    <t>b</t>
  </si>
  <si>
    <t>C*i*i*i*R/Rmax*R/Rmax</t>
  </si>
  <si>
    <t>对手范围2</t>
  </si>
  <si>
    <t>对手范围3</t>
  </si>
  <si>
    <t>对手段位1</t>
  </si>
  <si>
    <t>对手段位2</t>
  </si>
  <si>
    <t>对手段位3</t>
  </si>
  <si>
    <t>胜率范围1</t>
  </si>
  <si>
    <t>胜率范围2</t>
  </si>
  <si>
    <t>胜利得分范围1</t>
  </si>
  <si>
    <t>胜利得分范围2</t>
  </si>
  <si>
    <t>胜利得分范围3</t>
  </si>
  <si>
    <t>失败扣分范围1</t>
  </si>
  <si>
    <t>失败扣分范围2</t>
  </si>
  <si>
    <t>失败扣分范围3</t>
  </si>
  <si>
    <t>相对胜率</t>
  </si>
  <si>
    <t>得分</t>
  </si>
  <si>
    <t>升段</t>
  </si>
  <si>
    <t>场次</t>
  </si>
  <si>
    <t>调整1：匹配查找范围公式调整</t>
    <phoneticPr fontId="6" type="noConversion"/>
  </si>
  <si>
    <t>原</t>
    <phoneticPr fontId="6" type="noConversion"/>
  </si>
  <si>
    <t>for，i=1，range=20*i*3，i&lt;=2,i++</t>
    <phoneticPr fontId="6" type="noConversion"/>
  </si>
  <si>
    <r>
      <t>for，i=1，range=</t>
    </r>
    <r>
      <rPr>
        <sz val="10"/>
        <color rgb="FFFF0000"/>
        <rFont val="微软雅黑"/>
        <family val="2"/>
        <charset val="134"/>
      </rPr>
      <t>c*i*(1+i*i*R*R/Rmax/Rmax)</t>
    </r>
    <r>
      <rPr>
        <sz val="10"/>
        <color theme="1"/>
        <rFont val="微软雅黑"/>
        <family val="2"/>
        <charset val="134"/>
      </rPr>
      <t>，i&lt;=</t>
    </r>
    <r>
      <rPr>
        <sz val="10"/>
        <color rgb="FFFF0000"/>
        <rFont val="微软雅黑"/>
        <family val="2"/>
        <charset val="134"/>
      </rPr>
      <t>3</t>
    </r>
    <r>
      <rPr>
        <sz val="10"/>
        <color theme="1"/>
        <rFont val="微软雅黑"/>
        <family val="2"/>
        <charset val="134"/>
      </rPr>
      <t>,i++</t>
    </r>
    <phoneticPr fontId="6" type="noConversion"/>
  </si>
  <si>
    <t>调整2：胜负得分调整</t>
    <phoneticPr fontId="6" type="noConversion"/>
  </si>
  <si>
    <t>胜利</t>
  </si>
  <si>
    <t>失败</t>
  </si>
  <si>
    <t>进攻玩家</t>
  </si>
  <si>
    <t>防守玩家</t>
  </si>
  <si>
    <t>降低排位分，原基础/8</t>
    <phoneticPr fontId="10" type="noConversion"/>
  </si>
  <si>
    <t>调整3：胜利得分优化</t>
    <phoneticPr fontId="6" type="noConversion"/>
  </si>
  <si>
    <t>新</t>
    <phoneticPr fontId="6" type="noConversion"/>
  </si>
  <si>
    <t>降低排位分，原基础/4</t>
    <phoneticPr fontId="10" type="noConversion"/>
  </si>
  <si>
    <t>玩家获得胜利积分*1.5</t>
    <phoneticPr fontId="10" type="noConversion"/>
  </si>
  <si>
    <t>最终计算结果，胜利得分不低于3分</t>
    <phoneticPr fontId="6" type="noConversion"/>
  </si>
  <si>
    <t>玩家获得胜利积分*1.2</t>
    <phoneticPr fontId="10" type="noConversion"/>
  </si>
  <si>
    <t>玩家获得胜利积分/2</t>
    <phoneticPr fontId="10" type="noConversion"/>
  </si>
  <si>
    <t>我方 - 进攻</t>
    <phoneticPr fontId="10" type="noConversion"/>
  </si>
  <si>
    <t>K（常数）</t>
    <phoneticPr fontId="10" type="noConversion"/>
  </si>
  <si>
    <t>防守</t>
    <phoneticPr fontId="10" type="noConversion"/>
  </si>
  <si>
    <t>进攻</t>
    <phoneticPr fontId="10" type="noConversion"/>
  </si>
  <si>
    <t>对方 - 防守</t>
    <phoneticPr fontId="10" type="noConversion"/>
  </si>
  <si>
    <t>得分*1.2</t>
    <phoneticPr fontId="10" type="noConversion"/>
  </si>
  <si>
    <t>扣分/4</t>
    <phoneticPr fontId="10" type="noConversion"/>
  </si>
  <si>
    <t>得分/2</t>
    <phoneticPr fontId="10" type="noConversion"/>
  </si>
  <si>
    <t>扣分/8</t>
    <phoneticPr fontId="10" type="noConversion"/>
  </si>
  <si>
    <t>扣分/2</t>
    <phoneticPr fontId="10" type="noConversion"/>
  </si>
  <si>
    <t>进攻分</t>
    <phoneticPr fontId="10" type="noConversion"/>
  </si>
  <si>
    <t>防守分</t>
    <phoneticPr fontId="10" type="noConversion"/>
  </si>
  <si>
    <t>结果内容下面两列</t>
    <phoneticPr fontId="10" type="noConversion"/>
  </si>
  <si>
    <t>工作表保护密码：123456</t>
    <phoneticPr fontId="10" type="noConversion"/>
  </si>
  <si>
    <t>K</t>
  </si>
  <si>
    <t>进攻</t>
    <phoneticPr fontId="6" type="noConversion"/>
  </si>
  <si>
    <t>/4</t>
    <phoneticPr fontId="6" type="noConversion"/>
  </si>
  <si>
    <t>/2</t>
    <phoneticPr fontId="6" type="noConversion"/>
  </si>
  <si>
    <t>防守</t>
    <phoneticPr fontId="6" type="noConversion"/>
  </si>
  <si>
    <t>/8</t>
    <phoneticPr fontId="6" type="noConversion"/>
  </si>
  <si>
    <t>工具1：根据竞技场情况，计算匹配结果</t>
  </si>
  <si>
    <t>输入内容</t>
  </si>
  <si>
    <t>最高分数</t>
  </si>
  <si>
    <t>连胜</t>
  </si>
  <si>
    <t>玩家段位</t>
  </si>
  <si>
    <t>演算结果</t>
  </si>
  <si>
    <t>公式拆分</t>
  </si>
  <si>
    <t>相乘</t>
  </si>
  <si>
    <t>对手分</t>
  </si>
  <si>
    <t>对手段位</t>
  </si>
  <si>
    <t>扣分</t>
  </si>
  <si>
    <t>胜利得分</t>
  </si>
  <si>
    <t>失败扣分</t>
  </si>
  <si>
    <t>公式计算</t>
  </si>
  <si>
    <t>拆分合并</t>
  </si>
  <si>
    <t>R-Rmin</t>
  </si>
  <si>
    <t>Rmin/R*0.1</t>
  </si>
  <si>
    <t>(R-Rmin)*Rmin/R*0.1</t>
  </si>
  <si>
    <t>Rmax-R</t>
  </si>
  <si>
    <t>R/Rmax*0.1</t>
  </si>
  <si>
    <t>(Rmax-R)*(R/Rmax*0.1)</t>
  </si>
  <si>
    <t>工具2：直接输入双方分数，获得得分情况</t>
  </si>
  <si>
    <t>输入内容（手动输入“我方”、“对手分”）</t>
  </si>
  <si>
    <t>草稿区域</t>
  </si>
  <si>
    <t>期望胜率</t>
  </si>
  <si>
    <t>升段分差</t>
  </si>
  <si>
    <t>期望每场得分</t>
  </si>
  <si>
    <t>需要场数</t>
  </si>
  <si>
    <t>大R</t>
  </si>
  <si>
    <t>1-9段所需场数</t>
  </si>
  <si>
    <t>1、失败扣分的算法</t>
  </si>
  <si>
    <t>现在是/8，要改成/4</t>
  </si>
  <si>
    <t>2、循环查询规则，放大区间</t>
  </si>
  <si>
    <t>for，i=1，range=20*i*3，i&lt;=2,i++</t>
  </si>
  <si>
    <t>i*i</t>
  </si>
  <si>
    <t>e</t>
  </si>
  <si>
    <t>i*(i+1)</t>
  </si>
  <si>
    <t>i=1</t>
  </si>
  <si>
    <t>i=2</t>
  </si>
  <si>
    <t>i=3</t>
  </si>
  <si>
    <t>i*i*i</t>
  </si>
  <si>
    <t>扣分/2</t>
  </si>
  <si>
    <t>a=</t>
  </si>
  <si>
    <t>C*i*i*i*R/Rmax</t>
  </si>
  <si>
    <t>C+a</t>
  </si>
  <si>
    <t>3*a</t>
  </si>
  <si>
    <t>C+3a</t>
  </si>
  <si>
    <t>2*a</t>
  </si>
  <si>
    <t>C+2a</t>
  </si>
  <si>
    <t>C*i*i*i*(R/Rmax)*(R/Rmax)</t>
  </si>
  <si>
    <t>2a</t>
  </si>
  <si>
    <t>1.5a</t>
  </si>
  <si>
    <t>C+1.5a</t>
  </si>
  <si>
    <t>C*i*i*(R/Rmax)*(R/Rmax)</t>
  </si>
  <si>
    <t>范围1</t>
  </si>
  <si>
    <t>范围2</t>
  </si>
  <si>
    <t>范围3</t>
  </si>
  <si>
    <t>验算工具（点击跳转）</t>
    <phoneticPr fontId="10" type="noConversion"/>
  </si>
  <si>
    <t>输入玩家分数查看结果</t>
    <phoneticPr fontId="6" type="noConversion"/>
  </si>
  <si>
    <t>完全公式计算范围</t>
    <phoneticPr fontId="6" type="noConversion"/>
  </si>
  <si>
    <t>a+b</t>
    <phoneticPr fontId="6" type="noConversion"/>
  </si>
  <si>
    <t>范围±（结果）</t>
    <phoneticPr fontId="6" type="noConversion"/>
  </si>
  <si>
    <t>需求内容</t>
    <phoneticPr fontId="10" type="noConversion"/>
  </si>
  <si>
    <t>文档日志</t>
    <phoneticPr fontId="10" type="noConversion"/>
  </si>
  <si>
    <t>时间</t>
    <phoneticPr fontId="10" type="noConversion"/>
  </si>
  <si>
    <t>操作</t>
    <phoneticPr fontId="10" type="noConversion"/>
  </si>
  <si>
    <t>操作人</t>
    <phoneticPr fontId="10" type="noConversion"/>
  </si>
  <si>
    <t>操作内容</t>
    <phoneticPr fontId="10" type="noConversion"/>
  </si>
  <si>
    <t>orson</t>
    <phoneticPr fontId="10" type="noConversion"/>
  </si>
  <si>
    <t>新建</t>
    <phoneticPr fontId="10" type="noConversion"/>
  </si>
  <si>
    <t>新建文档</t>
    <phoneticPr fontId="10" type="noConversion"/>
  </si>
  <si>
    <t>设计内容</t>
    <phoneticPr fontId="10" type="noConversion"/>
  </si>
  <si>
    <t>调整竞技场匹配规则</t>
    <phoneticPr fontId="10" type="noConversion"/>
  </si>
  <si>
    <t>设计目的</t>
    <phoneticPr fontId="10" type="noConversion"/>
  </si>
  <si>
    <t>1、降低高分段匹配机器人概率，尽可能避免断崖式分差情况</t>
    <phoneticPr fontId="10" type="noConversion"/>
  </si>
  <si>
    <t>2、优化胜负得分计算</t>
    <phoneticPr fontId="10" type="noConversion"/>
  </si>
  <si>
    <t>段位</t>
    <phoneticPr fontId="6" type="noConversion"/>
  </si>
  <si>
    <t>段位表</t>
    <phoneticPr fontId="6" type="noConversion"/>
  </si>
  <si>
    <t>排行榜最高分</t>
    <phoneticPr fontId="6" type="noConversion"/>
  </si>
  <si>
    <t>输入项</t>
    <phoneticPr fontId="6" type="noConversion"/>
  </si>
  <si>
    <t>分数</t>
    <phoneticPr fontId="6" type="noConversion"/>
  </si>
  <si>
    <t>对手范围1</t>
    <phoneticPr fontId="6" type="noConversion"/>
  </si>
  <si>
    <t>演算工具</t>
    <phoneticPr fontId="10" type="noConversion"/>
  </si>
  <si>
    <t>黑色区域为输入项，输入分数查看结果</t>
    <phoneticPr fontId="10" type="noConversion"/>
  </si>
  <si>
    <t>工作表保护密码：123456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</si>
</sst>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"/>
  </numFmts>
  <fonts count="14" x14ac:knownFonts="1">
    <font>
      <sz val="11"/>
      <color theme="1"/>
      <name val="等线"/>
      <charset val="134"/>
      <scheme val="minor"/>
    </font>
    <font>
      <sz val="1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u/>
      <sz val="10"/>
      <color theme="1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" fontId="4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right" vertical="center"/>
    </xf>
    <xf numFmtId="1" fontId="3" fillId="5" borderId="1" xfId="0" applyNumberFormat="1" applyFont="1" applyFill="1" applyBorder="1" applyAlignment="1">
      <alignment horizontal="center" vertical="center"/>
    </xf>
    <xf numFmtId="10" fontId="1" fillId="0" borderId="1" xfId="0" applyNumberFormat="1" applyFont="1" applyBorder="1" applyAlignment="1">
      <alignment horizontal="right" vertical="center"/>
    </xf>
    <xf numFmtId="1" fontId="3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vertical="center"/>
    </xf>
    <xf numFmtId="1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1" fontId="3" fillId="5" borderId="1" xfId="0" applyNumberFormat="1" applyFont="1" applyFill="1" applyBorder="1"/>
    <xf numFmtId="0" fontId="4" fillId="5" borderId="3" xfId="0" applyFont="1" applyFill="1" applyBorder="1" applyAlignment="1">
      <alignment horizontal="center" vertical="center"/>
    </xf>
    <xf numFmtId="2" fontId="3" fillId="6" borderId="1" xfId="0" applyNumberFormat="1" applyFont="1" applyFill="1" applyBorder="1"/>
    <xf numFmtId="2" fontId="3" fillId="7" borderId="1" xfId="0" applyNumberFormat="1" applyFont="1" applyFill="1" applyBorder="1"/>
    <xf numFmtId="0" fontId="7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  <protection locked="0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vertical="center"/>
      <protection locked="0"/>
    </xf>
    <xf numFmtId="1" fontId="3" fillId="0" borderId="9" xfId="0" applyNumberFormat="1" applyFont="1" applyBorder="1" applyAlignment="1" applyProtection="1">
      <alignment horizontal="right" vertical="center"/>
      <protection locked="0"/>
    </xf>
    <xf numFmtId="0" fontId="3" fillId="4" borderId="8" xfId="0" applyFont="1" applyFill="1" applyBorder="1" applyAlignment="1">
      <alignment horizontal="center" vertical="center"/>
    </xf>
    <xf numFmtId="10" fontId="1" fillId="0" borderId="4" xfId="0" applyNumberFormat="1" applyFont="1" applyBorder="1" applyAlignment="1">
      <alignment vertical="center"/>
    </xf>
    <xf numFmtId="2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" fontId="3" fillId="0" borderId="7" xfId="0" applyNumberFormat="1" applyFont="1" applyBorder="1" applyAlignment="1">
      <alignment vertical="center"/>
    </xf>
    <xf numFmtId="1" fontId="3" fillId="0" borderId="5" xfId="0" applyNumberFormat="1" applyFont="1" applyBorder="1" applyAlignment="1">
      <alignment horizontal="right" vertical="center"/>
    </xf>
    <xf numFmtId="10" fontId="1" fillId="0" borderId="5" xfId="0" applyNumberFormat="1" applyFont="1" applyBorder="1" applyAlignment="1">
      <alignment vertical="center"/>
    </xf>
    <xf numFmtId="0" fontId="4" fillId="0" borderId="0" xfId="0" applyFont="1" applyProtection="1">
      <protection locked="0"/>
    </xf>
    <xf numFmtId="0" fontId="2" fillId="0" borderId="0" xfId="0" applyFont="1" applyProtection="1">
      <protection locked="0"/>
    </xf>
    <xf numFmtId="2" fontId="7" fillId="0" borderId="5" xfId="0" applyNumberFormat="1" applyFont="1" applyBorder="1"/>
    <xf numFmtId="2" fontId="7" fillId="0" borderId="9" xfId="0" applyNumberFormat="1" applyFont="1" applyBorder="1"/>
    <xf numFmtId="0" fontId="4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" fontId="3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3" fillId="0" borderId="8" xfId="0" applyNumberFormat="1" applyFont="1" applyBorder="1" applyAlignment="1">
      <alignment vertical="center"/>
    </xf>
    <xf numFmtId="1" fontId="3" fillId="0" borderId="0" xfId="0" applyNumberFormat="1" applyFont="1" applyAlignment="1">
      <alignment horizontal="left" vertical="center" indent="2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2" fontId="3" fillId="0" borderId="9" xfId="0" applyNumberFormat="1" applyFont="1" applyBorder="1" applyAlignment="1">
      <alignment vertical="center"/>
    </xf>
    <xf numFmtId="10" fontId="3" fillId="0" borderId="0" xfId="0" applyNumberFormat="1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77" fontId="3" fillId="0" borderId="0" xfId="0" applyNumberFormat="1" applyFont="1" applyAlignment="1">
      <alignment vertical="center"/>
    </xf>
    <xf numFmtId="0" fontId="13" fillId="0" borderId="0" xfId="1" applyFont="1" applyProtection="1">
      <protection locked="0"/>
    </xf>
    <xf numFmtId="0" fontId="4" fillId="0" borderId="0" xfId="0" applyFont="1"/>
    <xf numFmtId="0" fontId="3" fillId="0" borderId="0" xfId="0" applyFont="1" applyAlignment="1">
      <alignment horizontal="right"/>
    </xf>
    <xf numFmtId="0" fontId="5" fillId="2" borderId="0" xfId="0" applyFont="1" applyFill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7" borderId="11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4" fillId="8" borderId="13" xfId="0" applyFont="1" applyFill="1" applyBorder="1" applyAlignment="1" applyProtection="1">
      <alignment horizontal="center"/>
      <protection locked="0"/>
    </xf>
    <xf numFmtId="0" fontId="4" fillId="8" borderId="14" xfId="0" applyFont="1" applyFill="1" applyBorder="1" applyAlignment="1" applyProtection="1">
      <alignment horizontal="center"/>
      <protection locked="0"/>
    </xf>
    <xf numFmtId="0" fontId="4" fillId="8" borderId="15" xfId="0" applyFont="1" applyFill="1" applyBorder="1" applyAlignment="1" applyProtection="1">
      <alignment horizontal="center"/>
      <protection locked="0"/>
    </xf>
    <xf numFmtId="0" fontId="4" fillId="8" borderId="12" xfId="0" applyFont="1" applyFill="1" applyBorder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left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0" fontId="5" fillId="9" borderId="20" xfId="0" applyFont="1" applyFill="1" applyBorder="1" applyAlignment="1">
      <alignment horizontal="center" vertical="center"/>
    </xf>
    <xf numFmtId="0" fontId="5" fillId="9" borderId="21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58" fontId="7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/>
      <protection locked="0"/>
    </xf>
    <xf numFmtId="0" fontId="4" fillId="0" borderId="31" xfId="0" applyFont="1" applyBorder="1" applyProtection="1">
      <protection locked="0"/>
    </xf>
    <xf numFmtId="0" fontId="7" fillId="0" borderId="32" xfId="0" applyFont="1" applyBorder="1" applyProtection="1">
      <protection locked="0"/>
    </xf>
    <xf numFmtId="0" fontId="4" fillId="0" borderId="33" xfId="0" applyFont="1" applyBorder="1" applyProtection="1">
      <protection locked="0"/>
    </xf>
    <xf numFmtId="0" fontId="7" fillId="0" borderId="34" xfId="0" applyFont="1" applyBorder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0" xfId="0" applyFont="1"/>
    <xf numFmtId="0" fontId="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454;&#25216;&#22330;&#20248;&#21270;&#26041;&#26696;-1.13.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系统规则"/>
      <sheetName val="验算工具"/>
      <sheetName val="匹配公式演算表"/>
      <sheetName val="机器人匹配公式演算"/>
      <sheetName val="段位表"/>
    </sheetNames>
    <sheetDataSet>
      <sheetData sheetId="0"/>
      <sheetData sheetId="1"/>
      <sheetData sheetId="2"/>
      <sheetData sheetId="3"/>
      <sheetData sheetId="4">
        <row r="3">
          <cell r="C3">
            <v>1000</v>
          </cell>
          <cell r="J3">
            <v>1</v>
          </cell>
        </row>
        <row r="4">
          <cell r="C4">
            <v>1010</v>
          </cell>
          <cell r="J4">
            <v>2</v>
          </cell>
        </row>
        <row r="5">
          <cell r="C5">
            <v>1030</v>
          </cell>
          <cell r="J5">
            <v>3</v>
          </cell>
        </row>
        <row r="6">
          <cell r="C6">
            <v>1100</v>
          </cell>
          <cell r="J6">
            <v>4</v>
          </cell>
        </row>
        <row r="7">
          <cell r="C7">
            <v>1300</v>
          </cell>
          <cell r="J7">
            <v>5</v>
          </cell>
        </row>
        <row r="8">
          <cell r="C8">
            <v>1800</v>
          </cell>
          <cell r="J8">
            <v>6</v>
          </cell>
        </row>
        <row r="9">
          <cell r="C9">
            <v>2300</v>
          </cell>
          <cell r="J9">
            <v>7</v>
          </cell>
        </row>
        <row r="10">
          <cell r="C10">
            <v>2750</v>
          </cell>
          <cell r="J10">
            <v>8</v>
          </cell>
        </row>
        <row r="11">
          <cell r="C11">
            <v>3400</v>
          </cell>
          <cell r="D11" t="str">
            <v>-</v>
          </cell>
          <cell r="J11">
            <v>9</v>
          </cell>
        </row>
        <row r="12">
          <cell r="C12">
            <v>4300</v>
          </cell>
          <cell r="J12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1F0-8F88-4605-B125-372304D123D0}">
  <dimension ref="A1:Z46"/>
  <sheetViews>
    <sheetView showGridLines="0" tabSelected="1" workbookViewId="0"/>
  </sheetViews>
  <sheetFormatPr defaultRowHeight="16.5" x14ac:dyDescent="0.35"/>
  <cols>
    <col min="1" max="25" width="9" style="31"/>
    <col min="26" max="26" width="10.625" style="31" bestFit="1" customWidth="1"/>
    <col min="27" max="16384" width="9" style="31"/>
  </cols>
  <sheetData>
    <row r="1" spans="1:5" x14ac:dyDescent="0.35">
      <c r="A1" s="49" t="s">
        <v>69</v>
      </c>
    </row>
    <row r="2" spans="1:5" s="81" customFormat="1" x14ac:dyDescent="0.35">
      <c r="B2" s="81" t="s">
        <v>139</v>
      </c>
    </row>
    <row r="3" spans="1:5" x14ac:dyDescent="0.35">
      <c r="A3" s="49"/>
    </row>
    <row r="4" spans="1:5" x14ac:dyDescent="0.35">
      <c r="B4" s="52" t="s">
        <v>140</v>
      </c>
      <c r="C4" s="52" t="s">
        <v>142</v>
      </c>
      <c r="D4" s="52" t="s">
        <v>141</v>
      </c>
      <c r="E4" s="52" t="s">
        <v>143</v>
      </c>
    </row>
    <row r="5" spans="1:5" x14ac:dyDescent="0.35">
      <c r="B5" s="139">
        <v>44827</v>
      </c>
      <c r="C5" s="140" t="s">
        <v>144</v>
      </c>
      <c r="D5" s="140" t="s">
        <v>145</v>
      </c>
      <c r="E5" s="140" t="s">
        <v>146</v>
      </c>
    </row>
    <row r="6" spans="1:5" x14ac:dyDescent="0.35">
      <c r="B6" s="141"/>
      <c r="C6" s="141"/>
      <c r="D6" s="141"/>
      <c r="E6" s="141"/>
    </row>
    <row r="7" spans="1:5" x14ac:dyDescent="0.35">
      <c r="B7" s="141"/>
      <c r="C7" s="141"/>
      <c r="D7" s="141"/>
      <c r="E7" s="141"/>
    </row>
    <row r="8" spans="1:5" x14ac:dyDescent="0.35">
      <c r="A8" s="32"/>
    </row>
    <row r="9" spans="1:5" x14ac:dyDescent="0.35">
      <c r="B9" s="32" t="s">
        <v>147</v>
      </c>
    </row>
    <row r="10" spans="1:5" x14ac:dyDescent="0.35">
      <c r="A10" s="32"/>
      <c r="C10" s="32" t="s">
        <v>148</v>
      </c>
    </row>
    <row r="12" spans="1:5" x14ac:dyDescent="0.35">
      <c r="A12" s="32"/>
      <c r="B12" s="32" t="s">
        <v>149</v>
      </c>
    </row>
    <row r="13" spans="1:5" x14ac:dyDescent="0.35">
      <c r="A13" s="32"/>
      <c r="C13" s="32" t="s">
        <v>150</v>
      </c>
    </row>
    <row r="14" spans="1:5" x14ac:dyDescent="0.35">
      <c r="C14" s="32" t="s">
        <v>151</v>
      </c>
    </row>
    <row r="16" spans="1:5" s="81" customFormat="1" x14ac:dyDescent="0.35">
      <c r="B16" s="81" t="s">
        <v>138</v>
      </c>
    </row>
    <row r="17" spans="1:26" x14ac:dyDescent="0.35">
      <c r="A17" s="49"/>
    </row>
    <row r="18" spans="1:26" x14ac:dyDescent="0.35">
      <c r="B18" s="48" t="s">
        <v>39</v>
      </c>
    </row>
    <row r="19" spans="1:26" x14ac:dyDescent="0.35">
      <c r="C19" s="146" t="s">
        <v>40</v>
      </c>
    </row>
    <row r="20" spans="1:26" x14ac:dyDescent="0.35">
      <c r="C20" s="146"/>
      <c r="D20" s="31" t="s">
        <v>41</v>
      </c>
    </row>
    <row r="21" spans="1:26" x14ac:dyDescent="0.35">
      <c r="C21" s="146" t="s">
        <v>50</v>
      </c>
    </row>
    <row r="22" spans="1:26" x14ac:dyDescent="0.35">
      <c r="D22" s="31" t="s">
        <v>42</v>
      </c>
    </row>
    <row r="23" spans="1:26" x14ac:dyDescent="0.35">
      <c r="C23" s="78" t="s">
        <v>133</v>
      </c>
    </row>
    <row r="25" spans="1:26" x14ac:dyDescent="0.35">
      <c r="B25" s="48" t="s">
        <v>43</v>
      </c>
    </row>
    <row r="26" spans="1:26" x14ac:dyDescent="0.35">
      <c r="C26" s="82" t="s">
        <v>40</v>
      </c>
      <c r="D26" s="82"/>
      <c r="E26" s="82"/>
      <c r="F26" s="82"/>
      <c r="G26" s="82"/>
      <c r="H26" s="82"/>
      <c r="I26" s="82"/>
      <c r="J26" s="82"/>
      <c r="K26" s="82"/>
      <c r="X26" s="33"/>
      <c r="Y26" s="33"/>
      <c r="Z26" s="33"/>
    </row>
    <row r="27" spans="1:26" x14ac:dyDescent="0.35">
      <c r="C27" s="34"/>
      <c r="D27" s="91" t="s">
        <v>44</v>
      </c>
      <c r="E27" s="91"/>
      <c r="F27" s="91"/>
      <c r="G27" s="91"/>
      <c r="H27" s="91" t="s">
        <v>45</v>
      </c>
      <c r="I27" s="91"/>
      <c r="J27" s="91"/>
      <c r="K27" s="91"/>
    </row>
    <row r="28" spans="1:26" x14ac:dyDescent="0.35">
      <c r="C28" s="34" t="s">
        <v>46</v>
      </c>
      <c r="D28" s="90" t="s">
        <v>52</v>
      </c>
      <c r="E28" s="90"/>
      <c r="F28" s="90"/>
      <c r="G28" s="90"/>
      <c r="H28" s="90" t="s">
        <v>48</v>
      </c>
      <c r="I28" s="90"/>
      <c r="J28" s="90"/>
      <c r="K28" s="90"/>
    </row>
    <row r="29" spans="1:26" x14ac:dyDescent="0.35">
      <c r="C29" s="34" t="s">
        <v>47</v>
      </c>
      <c r="D29" s="92"/>
      <c r="E29" s="92"/>
      <c r="F29" s="92"/>
      <c r="G29" s="92"/>
      <c r="H29" s="92"/>
      <c r="I29" s="92"/>
      <c r="J29" s="92"/>
      <c r="K29" s="92"/>
    </row>
    <row r="31" spans="1:26" x14ac:dyDescent="0.35">
      <c r="C31" s="82" t="s">
        <v>50</v>
      </c>
      <c r="D31" s="82"/>
      <c r="E31" s="82"/>
      <c r="F31" s="82"/>
      <c r="G31" s="82"/>
      <c r="H31" s="82"/>
      <c r="I31" s="82"/>
      <c r="J31" s="82"/>
      <c r="K31" s="82"/>
    </row>
    <row r="32" spans="1:26" x14ac:dyDescent="0.35">
      <c r="C32" s="34"/>
      <c r="D32" s="91" t="s">
        <v>44</v>
      </c>
      <c r="E32" s="91"/>
      <c r="F32" s="91"/>
      <c r="G32" s="91"/>
      <c r="H32" s="91" t="s">
        <v>45</v>
      </c>
      <c r="I32" s="91"/>
      <c r="J32" s="91"/>
      <c r="K32" s="91"/>
    </row>
    <row r="33" spans="1:11" x14ac:dyDescent="0.35">
      <c r="C33" s="34" t="s">
        <v>46</v>
      </c>
      <c r="D33" s="90" t="s">
        <v>54</v>
      </c>
      <c r="E33" s="90"/>
      <c r="F33" s="90"/>
      <c r="G33" s="90"/>
      <c r="H33" s="90" t="s">
        <v>51</v>
      </c>
      <c r="I33" s="90"/>
      <c r="J33" s="90"/>
      <c r="K33" s="90"/>
    </row>
    <row r="34" spans="1:11" x14ac:dyDescent="0.35">
      <c r="C34" s="34" t="s">
        <v>47</v>
      </c>
      <c r="D34" s="90" t="s">
        <v>55</v>
      </c>
      <c r="E34" s="90"/>
      <c r="F34" s="90"/>
      <c r="G34" s="90"/>
      <c r="H34" s="90" t="s">
        <v>48</v>
      </c>
      <c r="I34" s="90"/>
      <c r="J34" s="90"/>
      <c r="K34" s="90"/>
    </row>
    <row r="35" spans="1:11" x14ac:dyDescent="0.35">
      <c r="A35" s="32"/>
    </row>
    <row r="36" spans="1:11" ht="17.25" thickBot="1" x14ac:dyDescent="0.4">
      <c r="A36" s="32"/>
      <c r="C36" s="48" t="s">
        <v>158</v>
      </c>
    </row>
    <row r="37" spans="1:11" ht="17.25" thickBot="1" x14ac:dyDescent="0.4">
      <c r="C37" s="142" t="s">
        <v>159</v>
      </c>
      <c r="D37" s="143"/>
      <c r="E37" s="143"/>
      <c r="F37" s="143"/>
      <c r="G37" s="143"/>
      <c r="H37" s="144" t="s">
        <v>68</v>
      </c>
      <c r="I37" s="145"/>
    </row>
    <row r="38" spans="1:11" ht="17.25" thickBot="1" x14ac:dyDescent="0.4">
      <c r="C38" s="86" t="s">
        <v>56</v>
      </c>
      <c r="D38" s="87"/>
      <c r="E38" s="88"/>
      <c r="F38" s="88"/>
      <c r="G38" s="88"/>
      <c r="H38" s="88"/>
      <c r="I38" s="89"/>
    </row>
    <row r="39" spans="1:11" x14ac:dyDescent="0.35">
      <c r="A39" s="32"/>
      <c r="C39" s="37" t="s">
        <v>66</v>
      </c>
      <c r="D39" s="38" t="s">
        <v>67</v>
      </c>
      <c r="E39" s="36" t="s">
        <v>35</v>
      </c>
      <c r="F39" s="17" t="s">
        <v>36</v>
      </c>
      <c r="G39" s="17" t="s">
        <v>65</v>
      </c>
      <c r="H39" s="35" t="s">
        <v>61</v>
      </c>
      <c r="I39" s="41" t="s">
        <v>62</v>
      </c>
    </row>
    <row r="40" spans="1:11" ht="17.25" thickBot="1" x14ac:dyDescent="0.4">
      <c r="C40" s="39">
        <v>1000</v>
      </c>
      <c r="D40" s="40">
        <v>1000</v>
      </c>
      <c r="E40" s="42">
        <f>1/(1+POWER(10,(D40-C40)/400))</f>
        <v>0.5</v>
      </c>
      <c r="F40" s="43">
        <f>$K$43*(1-E40)</f>
        <v>16</v>
      </c>
      <c r="G40" s="43">
        <f>$K$43*(0-E40)/2</f>
        <v>-8</v>
      </c>
      <c r="H40" s="50">
        <f>F40*1.2</f>
        <v>19.2</v>
      </c>
      <c r="I40" s="51">
        <f>G40/2</f>
        <v>-4</v>
      </c>
    </row>
    <row r="41" spans="1:11" x14ac:dyDescent="0.35">
      <c r="C41" s="83" t="s">
        <v>60</v>
      </c>
      <c r="D41" s="84"/>
      <c r="E41" s="84"/>
      <c r="F41" s="84"/>
      <c r="G41" s="84"/>
      <c r="H41" s="84"/>
      <c r="I41" s="85"/>
    </row>
    <row r="42" spans="1:11" x14ac:dyDescent="0.35">
      <c r="A42" s="32"/>
      <c r="C42" s="44" t="s">
        <v>58</v>
      </c>
      <c r="D42" s="17" t="s">
        <v>59</v>
      </c>
      <c r="E42" s="17" t="s">
        <v>35</v>
      </c>
      <c r="F42" s="17" t="s">
        <v>36</v>
      </c>
      <c r="G42" s="17" t="s">
        <v>65</v>
      </c>
      <c r="H42" s="35" t="s">
        <v>63</v>
      </c>
      <c r="I42" s="41" t="s">
        <v>64</v>
      </c>
    </row>
    <row r="43" spans="1:11" ht="17.25" thickBot="1" x14ac:dyDescent="0.4">
      <c r="C43" s="45">
        <f>D40</f>
        <v>1000</v>
      </c>
      <c r="D43" s="46">
        <f>C40</f>
        <v>1000</v>
      </c>
      <c r="E43" s="47">
        <f>1/(1+POWER(10,(D43-C43)/400))</f>
        <v>0.5</v>
      </c>
      <c r="F43" s="43">
        <f>$K$43*(1-E43)</f>
        <v>16</v>
      </c>
      <c r="G43" s="43">
        <f>$K$43*(0-E43)/2</f>
        <v>-8</v>
      </c>
      <c r="H43" s="50">
        <f>F43/2</f>
        <v>8</v>
      </c>
      <c r="I43" s="51">
        <f>G43/4</f>
        <v>-2</v>
      </c>
      <c r="J43" s="32" t="s">
        <v>57</v>
      </c>
      <c r="K43" s="31">
        <v>32</v>
      </c>
    </row>
    <row r="45" spans="1:11" x14ac:dyDescent="0.35">
      <c r="B45" s="48" t="s">
        <v>49</v>
      </c>
    </row>
    <row r="46" spans="1:11" x14ac:dyDescent="0.35">
      <c r="C46" s="31" t="s">
        <v>53</v>
      </c>
    </row>
  </sheetData>
  <sheetProtection algorithmName="SHA-512" hashValue="1keE1iczNQch2bEDlR8rxUORW7yv8Cx/GJZ77SK4fXcqSaIPecDZhk8K4OqYyiBSqMrRv2leFndw9TGGUTwMtg==" saltValue="+Z40zyqEvQ4h6ZXskimbmA==" spinCount="100000" sheet="1" objects="1" scenarios="1"/>
  <mergeCells count="16">
    <mergeCell ref="C26:K26"/>
    <mergeCell ref="C41:I41"/>
    <mergeCell ref="C38:I38"/>
    <mergeCell ref="D34:G34"/>
    <mergeCell ref="H34:K34"/>
    <mergeCell ref="D27:G27"/>
    <mergeCell ref="H27:K27"/>
    <mergeCell ref="H28:K28"/>
    <mergeCell ref="H29:K29"/>
    <mergeCell ref="D29:G29"/>
    <mergeCell ref="D28:G28"/>
    <mergeCell ref="C31:K31"/>
    <mergeCell ref="D32:G32"/>
    <mergeCell ref="H32:K32"/>
    <mergeCell ref="D33:G33"/>
    <mergeCell ref="H33:K33"/>
  </mergeCells>
  <phoneticPr fontId="10" type="noConversion"/>
  <hyperlinks>
    <hyperlink ref="C23" location="公式演算!D2" display="验算工具（点击跳转）" xr:uid="{688BC363-C495-48F4-9006-53A062F8277C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showGridLines="0" workbookViewId="0"/>
  </sheetViews>
  <sheetFormatPr defaultColWidth="9" defaultRowHeight="15.75" customHeight="1" x14ac:dyDescent="0.35"/>
  <cols>
    <col min="1" max="1" width="4.625" style="10" customWidth="1"/>
    <col min="2" max="2" width="14.25" style="10" customWidth="1"/>
    <col min="3" max="3" width="9" style="10"/>
    <col min="4" max="6" width="11" style="10" customWidth="1"/>
    <col min="7" max="16384" width="9" style="10"/>
  </cols>
  <sheetData>
    <row r="1" spans="1:22" ht="15.75" customHeight="1" x14ac:dyDescent="0.35">
      <c r="A1" s="147" t="s">
        <v>160</v>
      </c>
      <c r="B1" s="147">
        <v>32</v>
      </c>
      <c r="D1" s="79" t="s">
        <v>134</v>
      </c>
    </row>
    <row r="2" spans="1:22" ht="15.75" customHeight="1" x14ac:dyDescent="0.35">
      <c r="C2" s="138" t="s">
        <v>155</v>
      </c>
      <c r="D2" s="136" t="s">
        <v>0</v>
      </c>
      <c r="E2" s="136"/>
      <c r="F2" s="136"/>
      <c r="G2" s="11" t="s">
        <v>1</v>
      </c>
      <c r="K2" s="96" t="s">
        <v>2</v>
      </c>
      <c r="L2" s="96"/>
      <c r="M2" s="96"/>
      <c r="N2" s="11" t="s">
        <v>1</v>
      </c>
      <c r="Q2" s="10" t="s">
        <v>153</v>
      </c>
    </row>
    <row r="3" spans="1:22" ht="15.75" customHeight="1" x14ac:dyDescent="0.35">
      <c r="C3" s="138"/>
      <c r="D3" s="101">
        <v>1000</v>
      </c>
      <c r="E3" s="101"/>
      <c r="F3" s="101"/>
      <c r="G3" s="12">
        <f>LOOKUP(D3,R:S,Q:Q)</f>
        <v>1</v>
      </c>
      <c r="I3" s="5"/>
      <c r="K3" s="100" t="s">
        <v>3</v>
      </c>
      <c r="L3" s="100"/>
      <c r="M3" s="27">
        <f>MIN(D16:F17)</f>
        <v>1000</v>
      </c>
      <c r="N3" s="28">
        <f>LOOKUP(M3,R:S,Q:Q)</f>
        <v>1</v>
      </c>
      <c r="Q3" s="1" t="s">
        <v>152</v>
      </c>
      <c r="R3" s="93" t="s">
        <v>4</v>
      </c>
      <c r="S3" s="94"/>
      <c r="T3" s="93" t="s">
        <v>5</v>
      </c>
      <c r="U3" s="94"/>
      <c r="V3" s="1" t="s">
        <v>156</v>
      </c>
    </row>
    <row r="4" spans="1:22" ht="15.75" customHeight="1" x14ac:dyDescent="0.35">
      <c r="C4" s="138"/>
      <c r="D4" s="137" t="s">
        <v>154</v>
      </c>
      <c r="E4" s="137"/>
      <c r="F4" s="137"/>
      <c r="G4" s="11" t="s">
        <v>1</v>
      </c>
      <c r="I4" s="5"/>
      <c r="K4" s="100" t="s">
        <v>7</v>
      </c>
      <c r="L4" s="100"/>
      <c r="M4" s="27">
        <f>MAX(D16:F17)</f>
        <v>1195</v>
      </c>
      <c r="N4" s="28">
        <f>LOOKUP(M4,R:S,Q:Q)</f>
        <v>4</v>
      </c>
      <c r="Q4" s="2">
        <v>1</v>
      </c>
      <c r="R4" s="95">
        <v>1000</v>
      </c>
      <c r="S4" s="95"/>
      <c r="T4" s="95">
        <v>1009</v>
      </c>
      <c r="U4" s="95"/>
      <c r="V4" s="1">
        <f>T4-R4</f>
        <v>9</v>
      </c>
    </row>
    <row r="5" spans="1:22" ht="15.75" customHeight="1" x14ac:dyDescent="0.35">
      <c r="C5" s="138"/>
      <c r="D5" s="101">
        <v>2000</v>
      </c>
      <c r="E5" s="101"/>
      <c r="F5" s="101"/>
      <c r="G5" s="12">
        <f>LOOKUP(D5,R:S,Q:Q)</f>
        <v>6</v>
      </c>
      <c r="I5" s="5"/>
      <c r="K5" s="98" t="s">
        <v>8</v>
      </c>
      <c r="L5" s="98"/>
      <c r="M5" s="21">
        <f>1/(1+POWER(10,(M3-F6)/400))</f>
        <v>0.5</v>
      </c>
      <c r="N5" s="98"/>
      <c r="Q5" s="1">
        <v>2</v>
      </c>
      <c r="R5" s="95">
        <v>1010</v>
      </c>
      <c r="S5" s="95"/>
      <c r="T5" s="95">
        <v>1029</v>
      </c>
      <c r="U5" s="95"/>
      <c r="V5" s="1">
        <f t="shared" ref="V5:V12" si="0">T5-R5</f>
        <v>19</v>
      </c>
    </row>
    <row r="6" spans="1:22" ht="15.75" customHeight="1" x14ac:dyDescent="0.35">
      <c r="B6" s="7"/>
      <c r="C6" s="7" t="s">
        <v>6</v>
      </c>
      <c r="D6" s="13">
        <f>D3</f>
        <v>1000</v>
      </c>
      <c r="E6" s="13">
        <f>D3</f>
        <v>1000</v>
      </c>
      <c r="F6" s="13">
        <f>D3</f>
        <v>1000</v>
      </c>
      <c r="G6" s="5"/>
      <c r="H6" s="5"/>
      <c r="I6" s="5"/>
      <c r="K6" s="98" t="s">
        <v>9</v>
      </c>
      <c r="L6" s="98"/>
      <c r="M6" s="21">
        <f>1/(1+POWER(10,(M4-F6)/400))</f>
        <v>0.24554595805781354</v>
      </c>
      <c r="N6" s="98"/>
      <c r="Q6" s="1">
        <v>3</v>
      </c>
      <c r="R6" s="95">
        <v>1030</v>
      </c>
      <c r="S6" s="95"/>
      <c r="T6" s="95">
        <v>1099</v>
      </c>
      <c r="U6" s="95"/>
      <c r="V6" s="1">
        <f t="shared" si="0"/>
        <v>69</v>
      </c>
    </row>
    <row r="7" spans="1:22" ht="15.75" customHeight="1" x14ac:dyDescent="0.35">
      <c r="B7" s="7"/>
      <c r="C7" s="7" t="s">
        <v>4</v>
      </c>
      <c r="D7" s="14">
        <v>1000</v>
      </c>
      <c r="E7" s="14">
        <v>1000</v>
      </c>
      <c r="F7" s="14">
        <v>1000</v>
      </c>
      <c r="G7" s="5"/>
      <c r="H7" s="5"/>
      <c r="I7" s="5"/>
      <c r="K7" s="99" t="s">
        <v>11</v>
      </c>
      <c r="L7" s="99"/>
      <c r="M7" s="29">
        <f>B1*(1-M5)</f>
        <v>16</v>
      </c>
      <c r="N7" s="98"/>
      <c r="Q7" s="1">
        <v>4</v>
      </c>
      <c r="R7" s="95">
        <v>1100</v>
      </c>
      <c r="S7" s="95"/>
      <c r="T7" s="95">
        <v>1299</v>
      </c>
      <c r="U7" s="95"/>
      <c r="V7" s="1">
        <f t="shared" si="0"/>
        <v>199</v>
      </c>
    </row>
    <row r="8" spans="1:22" ht="15.75" customHeight="1" x14ac:dyDescent="0.35">
      <c r="B8" s="7"/>
      <c r="C8" s="7" t="s">
        <v>5</v>
      </c>
      <c r="D8" s="14">
        <f>D5</f>
        <v>2000</v>
      </c>
      <c r="E8" s="14">
        <f>D5</f>
        <v>2000</v>
      </c>
      <c r="F8" s="14">
        <f>D5</f>
        <v>2000</v>
      </c>
      <c r="G8" s="5"/>
      <c r="H8" s="5"/>
      <c r="I8" s="5"/>
      <c r="K8" s="99" t="s">
        <v>13</v>
      </c>
      <c r="L8" s="99"/>
      <c r="M8" s="29">
        <f>B1*(1-M6)</f>
        <v>24.142529342149967</v>
      </c>
      <c r="N8" s="98"/>
      <c r="Q8" s="1">
        <v>5</v>
      </c>
      <c r="R8" s="95">
        <v>1300</v>
      </c>
      <c r="S8" s="95"/>
      <c r="T8" s="95">
        <v>1799</v>
      </c>
      <c r="U8" s="95"/>
      <c r="V8" s="1">
        <f t="shared" si="0"/>
        <v>499</v>
      </c>
    </row>
    <row r="9" spans="1:22" ht="15.75" customHeight="1" x14ac:dyDescent="0.35">
      <c r="B9" s="7"/>
      <c r="C9" s="7" t="s">
        <v>10</v>
      </c>
      <c r="D9" s="14">
        <v>20</v>
      </c>
      <c r="E9" s="14">
        <v>20</v>
      </c>
      <c r="F9" s="14">
        <v>20</v>
      </c>
      <c r="G9" s="5"/>
      <c r="H9" s="5"/>
      <c r="I9" s="5"/>
      <c r="K9" s="97" t="s">
        <v>15</v>
      </c>
      <c r="L9" s="97"/>
      <c r="M9" s="30">
        <f>B1*(0-M5)/4</f>
        <v>-4</v>
      </c>
      <c r="N9" s="98"/>
      <c r="Q9" s="1">
        <v>6</v>
      </c>
      <c r="R9" s="95">
        <v>1800</v>
      </c>
      <c r="S9" s="95"/>
      <c r="T9" s="95">
        <v>2299</v>
      </c>
      <c r="U9" s="95"/>
      <c r="V9" s="1">
        <f t="shared" si="0"/>
        <v>499</v>
      </c>
    </row>
    <row r="10" spans="1:22" ht="15.75" customHeight="1" x14ac:dyDescent="0.35">
      <c r="B10" s="7"/>
      <c r="C10" s="15" t="s">
        <v>12</v>
      </c>
      <c r="D10" s="16">
        <v>1</v>
      </c>
      <c r="E10" s="16">
        <v>2</v>
      </c>
      <c r="F10" s="16">
        <v>3</v>
      </c>
      <c r="G10" s="8"/>
      <c r="H10" s="5"/>
      <c r="I10" s="5"/>
      <c r="K10" s="97" t="s">
        <v>16</v>
      </c>
      <c r="L10" s="97"/>
      <c r="M10" s="30">
        <f>B1*(0-M6)/4</f>
        <v>-1.9643676644625083</v>
      </c>
      <c r="N10" s="98"/>
      <c r="Q10" s="1">
        <v>7</v>
      </c>
      <c r="R10" s="95">
        <v>2300</v>
      </c>
      <c r="S10" s="95"/>
      <c r="T10" s="95">
        <v>2749</v>
      </c>
      <c r="U10" s="95"/>
      <c r="V10" s="1">
        <f t="shared" si="0"/>
        <v>449</v>
      </c>
    </row>
    <row r="11" spans="1:22" ht="15.75" customHeight="1" x14ac:dyDescent="0.35">
      <c r="B11" s="7"/>
      <c r="C11" s="7" t="s">
        <v>14</v>
      </c>
      <c r="D11" s="14">
        <f>D6/D8</f>
        <v>0.5</v>
      </c>
      <c r="E11" s="14">
        <f>E6/E8</f>
        <v>0.5</v>
      </c>
      <c r="F11" s="14">
        <f>F6/F8</f>
        <v>0.5</v>
      </c>
      <c r="G11" s="5"/>
      <c r="H11" s="5"/>
      <c r="I11" s="5"/>
      <c r="Q11" s="1">
        <v>8</v>
      </c>
      <c r="R11" s="95">
        <v>2750</v>
      </c>
      <c r="S11" s="95"/>
      <c r="T11" s="95">
        <v>3399</v>
      </c>
      <c r="U11" s="95"/>
      <c r="V11" s="1">
        <f t="shared" si="0"/>
        <v>649</v>
      </c>
    </row>
    <row r="12" spans="1:22" ht="15.75" customHeight="1" x14ac:dyDescent="0.35">
      <c r="B12" s="17" t="s">
        <v>18</v>
      </c>
      <c r="C12" s="7" t="s">
        <v>17</v>
      </c>
      <c r="D12" s="14">
        <f>D9*D10</f>
        <v>20</v>
      </c>
      <c r="E12" s="14">
        <f>E9*E10</f>
        <v>40</v>
      </c>
      <c r="F12" s="14">
        <f>F9*F10</f>
        <v>60</v>
      </c>
      <c r="G12" s="5"/>
      <c r="H12" s="5"/>
      <c r="I12" s="5"/>
      <c r="Q12" s="1">
        <v>9</v>
      </c>
      <c r="R12" s="93">
        <v>3400</v>
      </c>
      <c r="S12" s="94"/>
      <c r="T12" s="93">
        <v>4299</v>
      </c>
      <c r="U12" s="94"/>
      <c r="V12" s="1">
        <f t="shared" si="0"/>
        <v>899</v>
      </c>
    </row>
    <row r="13" spans="1:22" ht="15.75" customHeight="1" x14ac:dyDescent="0.35">
      <c r="B13" s="17" t="s">
        <v>20</v>
      </c>
      <c r="C13" s="7" t="s">
        <v>21</v>
      </c>
      <c r="D13" s="14">
        <f>D9*D10*D10*D10*D11*D11</f>
        <v>5</v>
      </c>
      <c r="E13" s="14">
        <f>E9*E10*E10*E10*E11*E11</f>
        <v>40</v>
      </c>
      <c r="F13" s="14">
        <f>F9*F10*F10*F10*F11*F11</f>
        <v>135</v>
      </c>
      <c r="G13" s="5"/>
      <c r="H13" s="5"/>
      <c r="I13" s="5"/>
      <c r="J13" s="5"/>
      <c r="Q13" s="1">
        <v>10</v>
      </c>
      <c r="R13" s="95">
        <v>4300</v>
      </c>
      <c r="S13" s="95"/>
      <c r="T13" s="95" t="s">
        <v>19</v>
      </c>
      <c r="U13" s="95"/>
      <c r="V13" s="1"/>
    </row>
    <row r="14" spans="1:22" ht="15.75" customHeight="1" x14ac:dyDescent="0.35">
      <c r="B14" s="6" t="s">
        <v>137</v>
      </c>
      <c r="C14" s="15" t="s">
        <v>136</v>
      </c>
      <c r="D14" s="16">
        <f>D12+D13</f>
        <v>25</v>
      </c>
      <c r="E14" s="16">
        <f>E12+E13</f>
        <v>80</v>
      </c>
      <c r="F14" s="16">
        <f>F12+F13</f>
        <v>195</v>
      </c>
      <c r="G14" s="5"/>
      <c r="H14" s="5"/>
      <c r="I14" s="5"/>
      <c r="J14" s="5"/>
    </row>
    <row r="15" spans="1:22" ht="15.75" customHeight="1" x14ac:dyDescent="0.35">
      <c r="B15" s="5"/>
      <c r="C15" s="5"/>
      <c r="D15" s="18" t="s">
        <v>157</v>
      </c>
      <c r="E15" s="18" t="s">
        <v>22</v>
      </c>
      <c r="F15" s="18" t="s">
        <v>23</v>
      </c>
      <c r="G15" s="18" t="s">
        <v>24</v>
      </c>
      <c r="H15" s="18" t="s">
        <v>25</v>
      </c>
      <c r="I15" s="18" t="s">
        <v>26</v>
      </c>
      <c r="J15" s="5"/>
    </row>
    <row r="16" spans="1:22" ht="15.75" customHeight="1" x14ac:dyDescent="0.35">
      <c r="B16" s="5"/>
      <c r="C16" s="5"/>
      <c r="D16" s="19">
        <f>IF(D6-D14&lt;D7,D7,D6-D14)</f>
        <v>1000</v>
      </c>
      <c r="E16" s="19">
        <f>IF(E6-E14&lt;E7,E7,E6-E14)</f>
        <v>1000</v>
      </c>
      <c r="F16" s="19">
        <f>IF(F6-F14&lt;F7,F7,F6-F14)</f>
        <v>1000</v>
      </c>
      <c r="G16" s="20">
        <f>LOOKUP(D16,R:S,Q:Q)</f>
        <v>1</v>
      </c>
      <c r="H16" s="20">
        <f>LOOKUP(E16,R:S,Q:Q)</f>
        <v>1</v>
      </c>
      <c r="I16" s="20">
        <f>LOOKUP(F16,R:S,Q:Q)</f>
        <v>1</v>
      </c>
      <c r="J16" s="5"/>
    </row>
    <row r="17" spans="2:10" ht="15.75" customHeight="1" x14ac:dyDescent="0.35">
      <c r="B17" s="5"/>
      <c r="C17" s="5"/>
      <c r="D17" s="19">
        <f>IF(D6+D14&gt;D8,D8,D6+D14)</f>
        <v>1025</v>
      </c>
      <c r="E17" s="19">
        <f>IF(E6+E14&gt;E8,E8,E6+E14)</f>
        <v>1080</v>
      </c>
      <c r="F17" s="19">
        <f>IF(F6+F14&gt;F8,F8,F6+F14)</f>
        <v>1195</v>
      </c>
      <c r="G17" s="20">
        <f>LOOKUP(D17,R:S,Q:Q)</f>
        <v>2</v>
      </c>
      <c r="H17" s="20">
        <f>LOOKUP(E17,R:S,Q:Q)</f>
        <v>3</v>
      </c>
      <c r="I17" s="20">
        <f>LOOKUP(F17,R:S,Q:Q)</f>
        <v>4</v>
      </c>
      <c r="J17" s="5"/>
    </row>
    <row r="18" spans="2:10" ht="15.75" hidden="1" customHeight="1" x14ac:dyDescent="0.35">
      <c r="B18" s="5"/>
      <c r="C18" s="5"/>
      <c r="D18" s="9" t="s">
        <v>27</v>
      </c>
      <c r="E18" s="9" t="s">
        <v>28</v>
      </c>
      <c r="F18" s="9" t="s">
        <v>28</v>
      </c>
      <c r="G18" s="5"/>
      <c r="H18" s="5"/>
      <c r="I18" s="5"/>
      <c r="J18" s="5"/>
    </row>
    <row r="19" spans="2:10" ht="15.75" hidden="1" customHeight="1" x14ac:dyDescent="0.35">
      <c r="B19" s="5"/>
      <c r="C19" s="5"/>
      <c r="D19" s="21">
        <f>1/(1+POWER(10,(D16-D6)/400))</f>
        <v>0.5</v>
      </c>
      <c r="E19" s="21">
        <f>1/(1+POWER(10,(E16-E6)/400))</f>
        <v>0.5</v>
      </c>
      <c r="F19" s="21">
        <f>1/(1+POWER(10,(F16-F6)/400))</f>
        <v>0.5</v>
      </c>
      <c r="G19" s="5"/>
      <c r="H19" s="5"/>
      <c r="I19" s="5"/>
      <c r="J19" s="5"/>
    </row>
    <row r="20" spans="2:10" ht="15.75" hidden="1" customHeight="1" x14ac:dyDescent="0.35">
      <c r="B20" s="5"/>
      <c r="C20" s="5"/>
      <c r="D20" s="21">
        <f>1/(1+POWER(10,(D6-D17)/400))</f>
        <v>0.53591592694510226</v>
      </c>
      <c r="E20" s="21">
        <f>1/(1+POWER(10,(E6-E17)/400))</f>
        <v>0.61313682015314308</v>
      </c>
      <c r="F20" s="21">
        <f>1/(1+POWER(10,(F6-F17)/400))</f>
        <v>0.75445404194218657</v>
      </c>
      <c r="G20" s="5"/>
      <c r="H20" s="5"/>
      <c r="I20" s="5"/>
      <c r="J20" s="5"/>
    </row>
    <row r="21" spans="2:10" ht="15.75" customHeight="1" x14ac:dyDescent="0.35">
      <c r="B21" s="5"/>
      <c r="C21" s="5"/>
      <c r="D21" s="22" t="s">
        <v>29</v>
      </c>
      <c r="E21" s="22" t="s">
        <v>30</v>
      </c>
      <c r="F21" s="22" t="s">
        <v>31</v>
      </c>
      <c r="G21" s="5"/>
      <c r="H21" s="5"/>
      <c r="I21" s="5"/>
      <c r="J21" s="5"/>
    </row>
    <row r="22" spans="2:10" ht="15.75" customHeight="1" x14ac:dyDescent="0.35">
      <c r="B22" s="5"/>
      <c r="C22" s="5"/>
      <c r="D22" s="23">
        <f>B1*(1-D19)</f>
        <v>16</v>
      </c>
      <c r="E22" s="23">
        <f>B1*(1-E19)</f>
        <v>16</v>
      </c>
      <c r="F22" s="23">
        <f>B1*(1-F19)</f>
        <v>16</v>
      </c>
      <c r="G22" s="5"/>
      <c r="H22" s="5"/>
      <c r="I22" s="5"/>
      <c r="J22" s="5"/>
    </row>
    <row r="23" spans="2:10" ht="15.75" customHeight="1" x14ac:dyDescent="0.35">
      <c r="B23" s="5"/>
      <c r="C23" s="5"/>
      <c r="D23" s="23">
        <f>B1*(1-D20)</f>
        <v>14.850690337756728</v>
      </c>
      <c r="E23" s="23">
        <f>B1*(1-E20)</f>
        <v>12.379621755099421</v>
      </c>
      <c r="F23" s="23">
        <f>B1*(1-F20)</f>
        <v>7.8574706578500297</v>
      </c>
      <c r="G23" s="5"/>
      <c r="H23" s="5"/>
      <c r="I23" s="5"/>
      <c r="J23" s="5"/>
    </row>
    <row r="24" spans="2:10" ht="15.75" customHeight="1" x14ac:dyDescent="0.35">
      <c r="B24" s="5"/>
      <c r="C24" s="5"/>
      <c r="D24" s="24" t="s">
        <v>32</v>
      </c>
      <c r="E24" s="24" t="s">
        <v>33</v>
      </c>
      <c r="F24" s="24" t="s">
        <v>34</v>
      </c>
      <c r="G24" s="5"/>
      <c r="H24" s="5"/>
      <c r="I24" s="5"/>
      <c r="J24" s="5"/>
    </row>
    <row r="25" spans="2:10" ht="15.75" customHeight="1" x14ac:dyDescent="0.35">
      <c r="B25" s="5"/>
      <c r="C25" s="5"/>
      <c r="D25" s="25">
        <f>B1*(0-D19)/4</f>
        <v>-4</v>
      </c>
      <c r="E25" s="25">
        <f>B1*(0-E19)/4</f>
        <v>-4</v>
      </c>
      <c r="F25" s="25">
        <f>B1*(0-F19)/4</f>
        <v>-4</v>
      </c>
      <c r="G25" s="5"/>
      <c r="H25" s="5"/>
      <c r="I25" s="5"/>
      <c r="J25" s="5"/>
    </row>
    <row r="26" spans="2:10" ht="15.75" customHeight="1" x14ac:dyDescent="0.35">
      <c r="B26" s="5"/>
      <c r="C26" s="5"/>
      <c r="D26" s="25">
        <f>B1*(0-D20)/4</f>
        <v>-4.2873274155608181</v>
      </c>
      <c r="E26" s="25">
        <f>B1*(0-E20)/4</f>
        <v>-4.9050945612251446</v>
      </c>
      <c r="F26" s="25">
        <f>B1*(0-F20)/4</f>
        <v>-6.0356323355374926</v>
      </c>
      <c r="G26" s="5"/>
      <c r="H26" s="5"/>
      <c r="I26" s="5"/>
      <c r="J26" s="5"/>
    </row>
    <row r="27" spans="2:10" ht="15.75" customHeight="1" x14ac:dyDescent="0.35">
      <c r="J27" s="5"/>
    </row>
    <row r="30" spans="2:10" ht="15.75" customHeight="1" x14ac:dyDescent="0.35">
      <c r="D30" s="26">
        <f>D12*(1+D10*D10*D11*D11)</f>
        <v>25</v>
      </c>
      <c r="E30" s="26">
        <f>E12*(1+E10*E10*E11*E11)</f>
        <v>80</v>
      </c>
      <c r="F30" s="26">
        <f>F12*(1+F10*F10*F11*F11)</f>
        <v>195</v>
      </c>
    </row>
    <row r="31" spans="2:10" ht="15.75" customHeight="1" x14ac:dyDescent="0.35">
      <c r="C31" s="80" t="s">
        <v>135</v>
      </c>
      <c r="D31" s="26">
        <f>D12*(1+D10*D10*D6*D6/D8/D8)</f>
        <v>25</v>
      </c>
      <c r="E31" s="26">
        <f>E12*(1+E10*E10*E6*E6/E8/E8)</f>
        <v>80</v>
      </c>
      <c r="F31" s="26">
        <f>F12*(1+F10*F10*F6*F6/F8/F8)</f>
        <v>195</v>
      </c>
    </row>
  </sheetData>
  <sheetProtection algorithmName="SHA-512" hashValue="77I8K62NF0xC4bmohOW9sxMKeoLVa0vOcIwZ4FN/Xq1hK4qFLzT+ElMstbi1jwy3U2N2ZuxZzKyVZCUz8v32mA==" saltValue="7GKAqNx49d774jrG92qPJg==" spinCount="100000" sheet="1" objects="1" scenarios="1"/>
  <mergeCells count="37">
    <mergeCell ref="C2:C5"/>
    <mergeCell ref="D2:F2"/>
    <mergeCell ref="K2:M2"/>
    <mergeCell ref="D3:F3"/>
    <mergeCell ref="K3:L3"/>
    <mergeCell ref="R3:S3"/>
    <mergeCell ref="D4:F4"/>
    <mergeCell ref="D5:F5"/>
    <mergeCell ref="R7:S7"/>
    <mergeCell ref="T7:U7"/>
    <mergeCell ref="T3:U3"/>
    <mergeCell ref="K4:L4"/>
    <mergeCell ref="R4:S4"/>
    <mergeCell ref="T4:U4"/>
    <mergeCell ref="K5:L5"/>
    <mergeCell ref="R5:S5"/>
    <mergeCell ref="T5:U5"/>
    <mergeCell ref="K10:L10"/>
    <mergeCell ref="R10:S10"/>
    <mergeCell ref="T10:U10"/>
    <mergeCell ref="R11:S11"/>
    <mergeCell ref="T11:U11"/>
    <mergeCell ref="N5:N10"/>
    <mergeCell ref="K8:L8"/>
    <mergeCell ref="R8:S8"/>
    <mergeCell ref="T8:U8"/>
    <mergeCell ref="K9:L9"/>
    <mergeCell ref="R9:S9"/>
    <mergeCell ref="T9:U9"/>
    <mergeCell ref="K6:L6"/>
    <mergeCell ref="R6:S6"/>
    <mergeCell ref="T6:U6"/>
    <mergeCell ref="K7:L7"/>
    <mergeCell ref="R12:S12"/>
    <mergeCell ref="T12:U12"/>
    <mergeCell ref="R13:S13"/>
    <mergeCell ref="T13:U1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36DB-0DBC-4A0A-8A29-7AB3433C7643}">
  <dimension ref="A1:AB104"/>
  <sheetViews>
    <sheetView workbookViewId="0">
      <selection activeCell="E2" sqref="E2"/>
    </sheetView>
  </sheetViews>
  <sheetFormatPr defaultColWidth="11.5" defaultRowHeight="16.5" x14ac:dyDescent="0.2"/>
  <cols>
    <col min="1" max="1" width="9.875" style="5" customWidth="1"/>
    <col min="2" max="12" width="8.75" style="5" customWidth="1"/>
    <col min="13" max="14" width="11.5" style="5"/>
    <col min="15" max="15" width="11" style="5" customWidth="1"/>
    <col min="16" max="16384" width="11.5" style="5"/>
  </cols>
  <sheetData>
    <row r="1" spans="1:28" x14ac:dyDescent="0.2">
      <c r="A1" s="148" t="s">
        <v>160</v>
      </c>
    </row>
    <row r="2" spans="1:28" x14ac:dyDescent="0.2">
      <c r="D2" s="5" t="s">
        <v>70</v>
      </c>
      <c r="E2" s="53">
        <v>32</v>
      </c>
    </row>
    <row r="3" spans="1:28" ht="17.25" thickBot="1" x14ac:dyDescent="0.25">
      <c r="D3" s="5" t="s">
        <v>70</v>
      </c>
      <c r="E3" s="53">
        <f>E2</f>
        <v>32</v>
      </c>
      <c r="N3" s="5" t="s">
        <v>71</v>
      </c>
      <c r="O3" s="5" t="s">
        <v>72</v>
      </c>
      <c r="P3" s="5" t="s">
        <v>73</v>
      </c>
      <c r="Q3" s="5" t="s">
        <v>74</v>
      </c>
      <c r="R3" s="5" t="s">
        <v>75</v>
      </c>
      <c r="S3" s="5" t="s">
        <v>72</v>
      </c>
    </row>
    <row r="4" spans="1:28" x14ac:dyDescent="0.2">
      <c r="B4" s="126" t="s">
        <v>76</v>
      </c>
      <c r="C4" s="127"/>
      <c r="D4" s="127"/>
      <c r="E4" s="127"/>
      <c r="F4" s="127"/>
      <c r="G4" s="127"/>
      <c r="H4" s="127"/>
      <c r="I4" s="127"/>
      <c r="J4" s="127"/>
      <c r="K4" s="127"/>
      <c r="L4" s="128"/>
      <c r="N4" s="54">
        <f>K10*1.5</f>
        <v>15.216672626534809</v>
      </c>
      <c r="O4" s="54">
        <f>L10/2</f>
        <v>-5.4638878955775319</v>
      </c>
      <c r="P4" s="54">
        <f>L10/1.5</f>
        <v>-7.2851838607700428</v>
      </c>
      <c r="Q4" s="54">
        <f>K10/2</f>
        <v>5.0722242088449363</v>
      </c>
      <c r="R4" s="54">
        <f>L10/4</f>
        <v>-2.7319439477887659</v>
      </c>
      <c r="S4" s="5">
        <f>L10/2</f>
        <v>-5.4638878955775319</v>
      </c>
    </row>
    <row r="5" spans="1:28" x14ac:dyDescent="0.2">
      <c r="B5" s="129" t="s">
        <v>77</v>
      </c>
      <c r="C5" s="130"/>
      <c r="D5" s="130"/>
      <c r="E5" s="130"/>
      <c r="F5" s="130"/>
      <c r="G5" s="130"/>
      <c r="H5" s="130"/>
      <c r="I5" s="130"/>
      <c r="J5" s="130"/>
      <c r="K5" s="130"/>
      <c r="L5" s="131"/>
      <c r="N5" s="54">
        <f t="shared" ref="N5:N6" si="0">K11*1.5</f>
        <v>23.498109630471884</v>
      </c>
      <c r="O5" s="54">
        <f t="shared" ref="O5:O6" si="1">L11/2</f>
        <v>-4.0836483949213527</v>
      </c>
      <c r="P5" s="54">
        <f t="shared" ref="P5:P6" si="2">L11/1.5</f>
        <v>-5.4448645265618039</v>
      </c>
      <c r="Q5" s="54">
        <f t="shared" ref="Q5:Q6" si="3">K11/2</f>
        <v>7.8327032101572946</v>
      </c>
      <c r="R5" s="54">
        <f t="shared" ref="R5:R6" si="4">L11/4</f>
        <v>-2.0418241974606763</v>
      </c>
    </row>
    <row r="6" spans="1:28" x14ac:dyDescent="0.2">
      <c r="B6" s="129" t="s">
        <v>0</v>
      </c>
      <c r="C6" s="130"/>
      <c r="D6" s="132"/>
      <c r="E6" s="55" t="s">
        <v>78</v>
      </c>
      <c r="F6" s="133" t="s">
        <v>79</v>
      </c>
      <c r="G6" s="130"/>
      <c r="H6" s="132"/>
      <c r="I6" s="108" t="s">
        <v>80</v>
      </c>
      <c r="J6" s="134"/>
      <c r="K6" s="134"/>
      <c r="L6" s="135"/>
      <c r="N6" s="54">
        <f t="shared" si="0"/>
        <v>31.900867044115223</v>
      </c>
      <c r="O6" s="54">
        <f t="shared" si="1"/>
        <v>-2.6831888259807957</v>
      </c>
      <c r="P6" s="54">
        <f t="shared" si="2"/>
        <v>-3.5775851013077276</v>
      </c>
      <c r="Q6" s="54">
        <f t="shared" si="3"/>
        <v>10.633622348038408</v>
      </c>
      <c r="R6" s="54">
        <f t="shared" si="4"/>
        <v>-1.3415944129903978</v>
      </c>
    </row>
    <row r="7" spans="1:28" ht="17.25" thickBot="1" x14ac:dyDescent="0.25">
      <c r="B7" s="110">
        <v>3400</v>
      </c>
      <c r="C7" s="111"/>
      <c r="D7" s="112"/>
      <c r="E7" s="56">
        <v>10000</v>
      </c>
      <c r="F7" s="115">
        <v>0</v>
      </c>
      <c r="G7" s="111"/>
      <c r="H7" s="112"/>
      <c r="I7" s="115">
        <f>LOOKUP(B7,[1]段位表!C3:D12,[1]段位表!J3:J12)</f>
        <v>9</v>
      </c>
      <c r="J7" s="111"/>
      <c r="K7" s="111"/>
      <c r="L7" s="116"/>
    </row>
    <row r="8" spans="1:28" x14ac:dyDescent="0.2">
      <c r="B8" s="117" t="s">
        <v>81</v>
      </c>
      <c r="C8" s="118"/>
      <c r="D8" s="118"/>
      <c r="E8" s="118"/>
      <c r="F8" s="118"/>
      <c r="G8" s="118"/>
      <c r="H8" s="118"/>
      <c r="I8" s="118"/>
      <c r="J8" s="118"/>
      <c r="K8" s="118"/>
      <c r="L8" s="119"/>
      <c r="R8" s="53" t="s">
        <v>82</v>
      </c>
      <c r="W8" s="5" t="s">
        <v>83</v>
      </c>
    </row>
    <row r="9" spans="1:28" x14ac:dyDescent="0.2">
      <c r="B9" s="57"/>
      <c r="C9" s="6" t="s">
        <v>6</v>
      </c>
      <c r="D9" s="6" t="s">
        <v>4</v>
      </c>
      <c r="E9" s="6" t="s">
        <v>5</v>
      </c>
      <c r="F9" s="6" t="s">
        <v>18</v>
      </c>
      <c r="G9" s="6" t="s">
        <v>10</v>
      </c>
      <c r="H9" s="6" t="s">
        <v>84</v>
      </c>
      <c r="I9" s="6" t="s">
        <v>85</v>
      </c>
      <c r="J9" s="6" t="s">
        <v>35</v>
      </c>
      <c r="K9" s="6" t="s">
        <v>36</v>
      </c>
      <c r="L9" s="41" t="s">
        <v>86</v>
      </c>
      <c r="M9" s="5" t="s">
        <v>87</v>
      </c>
      <c r="N9" s="5" t="s">
        <v>88</v>
      </c>
      <c r="O9" s="53" t="s">
        <v>89</v>
      </c>
      <c r="P9" s="8" t="s">
        <v>90</v>
      </c>
      <c r="R9" s="5" t="s">
        <v>6</v>
      </c>
      <c r="T9" s="5" t="s">
        <v>91</v>
      </c>
      <c r="U9" s="5" t="s">
        <v>92</v>
      </c>
      <c r="W9" s="5" t="s">
        <v>93</v>
      </c>
    </row>
    <row r="10" spans="1:28" x14ac:dyDescent="0.2">
      <c r="B10" s="58">
        <v>1</v>
      </c>
      <c r="C10" s="7">
        <f>B7</f>
        <v>3400</v>
      </c>
      <c r="D10" s="7">
        <v>1000</v>
      </c>
      <c r="E10" s="7">
        <f>E7</f>
        <v>10000</v>
      </c>
      <c r="F10" s="7">
        <f>F7</f>
        <v>0</v>
      </c>
      <c r="G10" s="7">
        <v>20</v>
      </c>
      <c r="H10" s="59">
        <f>IF(P10&lt;1000,1000,P10)</f>
        <v>3266.6666666666665</v>
      </c>
      <c r="I10" s="59">
        <f>LOOKUP(H10,[1]段位表!$C$3:$D$12,[1]段位表!$J$3:$J$12)</f>
        <v>8</v>
      </c>
      <c r="J10" s="60">
        <f>1/(1+POWER(10,(H10-C10)/400))</f>
        <v>0.68298598694719148</v>
      </c>
      <c r="K10" s="61">
        <f>$E$3*(1-J10)</f>
        <v>10.144448417689873</v>
      </c>
      <c r="L10" s="62">
        <f>$E$3*(0-J10)/2</f>
        <v>-10.927775791155064</v>
      </c>
      <c r="M10" s="54">
        <f>K10*1.5</f>
        <v>15.216672626534809</v>
      </c>
      <c r="N10" s="54">
        <f>L10/4</f>
        <v>-2.7319439477887659</v>
      </c>
      <c r="O10" s="63">
        <f>C10-(1.7*D10*(C10-D10))/(C10*(F10+9))</f>
        <v>3266.6666666666665</v>
      </c>
      <c r="P10" s="54">
        <f>R10-T10*U10*17/(F10+9)</f>
        <v>3266.6666666666665</v>
      </c>
      <c r="Q10" s="54"/>
      <c r="R10" s="64">
        <f>C10</f>
        <v>3400</v>
      </c>
      <c r="S10" s="64"/>
      <c r="T10" s="64">
        <f>C10-D10</f>
        <v>2400</v>
      </c>
      <c r="U10" s="65">
        <f>D10/C10*0.1</f>
        <v>2.9411764705882356E-2</v>
      </c>
      <c r="V10" s="64"/>
      <c r="W10" s="66">
        <f>T10*U10</f>
        <v>70.588235294117652</v>
      </c>
      <c r="X10" s="64"/>
      <c r="Y10" s="67">
        <f>17/(F10+9)</f>
        <v>1.8888888888888888</v>
      </c>
      <c r="Z10" s="67">
        <f>W10*Y10</f>
        <v>133.33333333333334</v>
      </c>
    </row>
    <row r="11" spans="1:28" x14ac:dyDescent="0.2">
      <c r="B11" s="58">
        <v>2</v>
      </c>
      <c r="C11" s="7">
        <f>B7</f>
        <v>3400</v>
      </c>
      <c r="D11" s="7">
        <v>1000</v>
      </c>
      <c r="E11" s="7">
        <f>E7</f>
        <v>10000</v>
      </c>
      <c r="F11" s="7">
        <f>F7</f>
        <v>0</v>
      </c>
      <c r="G11" s="7">
        <v>20</v>
      </c>
      <c r="H11" s="59">
        <f>(H10+H12)/2</f>
        <v>3392.7333333333336</v>
      </c>
      <c r="I11" s="59">
        <f>LOOKUP(H11,[1]段位表!$C$3:$D$12,[1]段位表!$J$3:$J$12)</f>
        <v>8</v>
      </c>
      <c r="J11" s="60">
        <f>1/(1+POWER(10,(H11-C11)/400))</f>
        <v>0.51045604936516908</v>
      </c>
      <c r="K11" s="61">
        <f>$E$3*(1-J11)</f>
        <v>15.665406420314589</v>
      </c>
      <c r="L11" s="62">
        <f>$E$3*(0-J11)/2</f>
        <v>-8.1672967898427054</v>
      </c>
      <c r="M11" s="54">
        <f>K11*1.5</f>
        <v>23.498109630471884</v>
      </c>
      <c r="N11" s="54">
        <f>L11/4</f>
        <v>-2.0418241974606763</v>
      </c>
      <c r="O11" s="63">
        <f>C11+((0.1*C11*(E11-C11)*(F11+9))/(34*E11))-((1.7*D11*(C11-D11))/(2*C11*(F11+9)))</f>
        <v>3392.7333333333336</v>
      </c>
      <c r="P11" s="54"/>
      <c r="R11" s="5" t="s">
        <v>6</v>
      </c>
      <c r="T11" s="5" t="s">
        <v>94</v>
      </c>
      <c r="U11" s="5" t="s">
        <v>95</v>
      </c>
      <c r="W11" s="5" t="s">
        <v>96</v>
      </c>
      <c r="Z11" s="67"/>
    </row>
    <row r="12" spans="1:28" ht="17.25" thickBot="1" x14ac:dyDescent="0.25">
      <c r="B12" s="68">
        <v>3</v>
      </c>
      <c r="C12" s="69">
        <f>B7</f>
        <v>3400</v>
      </c>
      <c r="D12" s="69">
        <v>1000</v>
      </c>
      <c r="E12" s="69">
        <f>E7</f>
        <v>10000</v>
      </c>
      <c r="F12" s="69">
        <f>F7</f>
        <v>0</v>
      </c>
      <c r="G12" s="69">
        <v>20</v>
      </c>
      <c r="H12" s="59">
        <f>IF(P12&lt;1000,1000,P12)</f>
        <v>3518.8</v>
      </c>
      <c r="I12" s="46">
        <f>LOOKUP(H12,[1]段位表!$C$3:$D$12,[1]段位表!$J$3:$J$12)</f>
        <v>9</v>
      </c>
      <c r="J12" s="47">
        <f>1/(1+POWER(10,(H12-C12)/400))</f>
        <v>0.33539860324759946</v>
      </c>
      <c r="K12" s="43">
        <f>$E$3*(1-J12)</f>
        <v>21.267244696076816</v>
      </c>
      <c r="L12" s="70">
        <f>$E$3*(0-J12)/2</f>
        <v>-5.3663776519615913</v>
      </c>
      <c r="M12" s="54">
        <f>K12*1.5</f>
        <v>31.900867044115223</v>
      </c>
      <c r="N12" s="54">
        <f>L12/4</f>
        <v>-1.3415944129903978</v>
      </c>
      <c r="O12" s="63">
        <f>C12+(0.1*C12*(E12-C12)*(F12+9))/(17*E12)</f>
        <v>3518.8</v>
      </c>
      <c r="P12" s="54">
        <f>R12+T12*U12*(F12+9)/17</f>
        <v>3518.8</v>
      </c>
      <c r="Q12" s="54"/>
      <c r="R12" s="64">
        <f>C12</f>
        <v>3400</v>
      </c>
      <c r="S12" s="64"/>
      <c r="T12" s="64">
        <f>E12-C12</f>
        <v>6600</v>
      </c>
      <c r="U12" s="65">
        <f>C12/E12*0.1</f>
        <v>3.4000000000000002E-2</v>
      </c>
      <c r="V12" s="64"/>
      <c r="W12" s="66">
        <f>T12*U12</f>
        <v>224.4</v>
      </c>
      <c r="Y12" s="67">
        <f>(F12+9)/17</f>
        <v>0.52941176470588236</v>
      </c>
      <c r="Z12" s="67">
        <f>W12*Y12</f>
        <v>118.80000000000001</v>
      </c>
      <c r="AA12" s="5">
        <f>+++++++++++++++++++++++++++++++++++++++++++++++++++++++++++++++++++++++++++++++++++++++++7</f>
        <v>7</v>
      </c>
    </row>
    <row r="13" spans="1:28" ht="17.25" thickBot="1" x14ac:dyDescent="0.25">
      <c r="B13" s="120" t="s">
        <v>97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2"/>
      <c r="O13" s="63"/>
      <c r="Y13" s="71"/>
      <c r="AA13" s="54"/>
      <c r="AB13" s="54"/>
    </row>
    <row r="14" spans="1:28" x14ac:dyDescent="0.2">
      <c r="B14" s="123" t="s">
        <v>98</v>
      </c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N14" s="67">
        <f>M10/2</f>
        <v>7.6083363132674044</v>
      </c>
      <c r="O14" s="63"/>
      <c r="Y14" s="71"/>
      <c r="AA14" s="54"/>
      <c r="AB14" s="54"/>
    </row>
    <row r="15" spans="1:28" x14ac:dyDescent="0.2">
      <c r="B15" s="105" t="s">
        <v>6</v>
      </c>
      <c r="C15" s="106"/>
      <c r="D15" s="106"/>
      <c r="E15" s="107"/>
      <c r="F15" s="108" t="s">
        <v>80</v>
      </c>
      <c r="G15" s="109"/>
      <c r="H15" s="72" t="s">
        <v>84</v>
      </c>
      <c r="I15" s="6" t="s">
        <v>85</v>
      </c>
      <c r="J15" s="6" t="s">
        <v>35</v>
      </c>
      <c r="K15" s="6" t="s">
        <v>36</v>
      </c>
      <c r="L15" s="41" t="s">
        <v>86</v>
      </c>
      <c r="N15" s="67">
        <f t="shared" ref="N15:N16" si="5">M11/2</f>
        <v>11.749054815235942</v>
      </c>
      <c r="O15" s="54">
        <f>O10-60</f>
        <v>3206.6666666666665</v>
      </c>
      <c r="P15" s="54">
        <f>O10+60</f>
        <v>3326.6666666666665</v>
      </c>
      <c r="R15" s="54">
        <f>O10-120</f>
        <v>3146.6666666666665</v>
      </c>
      <c r="S15" s="54">
        <f>O10+120</f>
        <v>3386.6666666666665</v>
      </c>
      <c r="U15" s="54">
        <f>O10-180</f>
        <v>3086.6666666666665</v>
      </c>
      <c r="V15" s="54">
        <f>O10+180</f>
        <v>3446.6666666666665</v>
      </c>
    </row>
    <row r="16" spans="1:28" ht="17.25" thickBot="1" x14ac:dyDescent="0.25">
      <c r="B16" s="110">
        <v>5000</v>
      </c>
      <c r="C16" s="111"/>
      <c r="D16" s="111"/>
      <c r="E16" s="112"/>
      <c r="F16" s="113">
        <f>LOOKUP(B16,[1]段位表!$C$3:$D$12,[1]段位表!$J$3:$J$12)</f>
        <v>10</v>
      </c>
      <c r="G16" s="114"/>
      <c r="H16" s="73">
        <v>5000</v>
      </c>
      <c r="I16" s="73">
        <f>LOOKUP(H16,[1]段位表!$C$3:$D$12,[1]段位表!$J$3:$J$12)</f>
        <v>10</v>
      </c>
      <c r="J16" s="47">
        <f>1/(1+POWER(10,(H16-B16)/400))</f>
        <v>0.5</v>
      </c>
      <c r="K16" s="43">
        <f>$E$3*(1-J16)</f>
        <v>16</v>
      </c>
      <c r="L16" s="70">
        <f>$E$3*(0-J16)/2</f>
        <v>-8</v>
      </c>
      <c r="N16" s="67">
        <f t="shared" si="5"/>
        <v>15.950433522057612</v>
      </c>
      <c r="O16" s="54">
        <f t="shared" ref="O16:O17" si="6">O11-60</f>
        <v>3332.7333333333336</v>
      </c>
      <c r="P16" s="54">
        <f t="shared" ref="P16:P17" si="7">O11+60</f>
        <v>3452.7333333333336</v>
      </c>
      <c r="R16" s="54">
        <f t="shared" ref="R16:R17" si="8">O11-120</f>
        <v>3272.7333333333336</v>
      </c>
      <c r="S16" s="54">
        <f t="shared" ref="S16:S17" si="9">O11+120</f>
        <v>3512.7333333333336</v>
      </c>
      <c r="U16" s="54">
        <f t="shared" ref="U16:U17" si="10">O11-180</f>
        <v>3212.7333333333336</v>
      </c>
      <c r="V16" s="54">
        <f t="shared" ref="V16:V17" si="11">O11+180</f>
        <v>3572.7333333333336</v>
      </c>
    </row>
    <row r="17" spans="1:24" x14ac:dyDescent="0.2">
      <c r="O17" s="54">
        <f t="shared" si="6"/>
        <v>3458.8</v>
      </c>
      <c r="P17" s="54">
        <f t="shared" si="7"/>
        <v>3578.8</v>
      </c>
      <c r="R17" s="54">
        <f t="shared" si="8"/>
        <v>3398.8</v>
      </c>
      <c r="S17" s="54">
        <f t="shared" si="9"/>
        <v>3638.8</v>
      </c>
      <c r="U17" s="54">
        <f t="shared" si="10"/>
        <v>3338.8</v>
      </c>
      <c r="V17" s="54">
        <f t="shared" si="11"/>
        <v>3698.8</v>
      </c>
    </row>
    <row r="19" spans="1:24" s="75" customFormat="1" x14ac:dyDescent="0.2">
      <c r="A19" s="74" t="s">
        <v>99</v>
      </c>
    </row>
    <row r="21" spans="1:24" x14ac:dyDescent="0.2">
      <c r="B21" s="1" t="s">
        <v>1</v>
      </c>
      <c r="C21" s="93" t="s">
        <v>4</v>
      </c>
      <c r="D21" s="94"/>
      <c r="E21" s="93" t="s">
        <v>5</v>
      </c>
      <c r="F21" s="94"/>
      <c r="G21" s="93" t="s">
        <v>37</v>
      </c>
      <c r="H21" s="94"/>
      <c r="I21" s="3" t="s">
        <v>38</v>
      </c>
      <c r="J21" s="1" t="s">
        <v>1</v>
      </c>
      <c r="L21" s="76" t="s">
        <v>87</v>
      </c>
      <c r="M21" s="5" t="s">
        <v>88</v>
      </c>
      <c r="N21" s="5" t="s">
        <v>100</v>
      </c>
      <c r="P21" s="5" t="s">
        <v>101</v>
      </c>
      <c r="R21" s="5" t="s">
        <v>102</v>
      </c>
      <c r="S21" s="5" t="s">
        <v>103</v>
      </c>
      <c r="U21" s="5" t="s">
        <v>104</v>
      </c>
    </row>
    <row r="22" spans="1:24" x14ac:dyDescent="0.2">
      <c r="B22" s="2">
        <v>1</v>
      </c>
      <c r="C22" s="95">
        <v>1000</v>
      </c>
      <c r="D22" s="95"/>
      <c r="E22" s="95">
        <v>1009</v>
      </c>
      <c r="F22" s="95"/>
      <c r="G22" s="95">
        <v>10</v>
      </c>
      <c r="H22" s="95"/>
      <c r="I22" s="4">
        <v>0.625</v>
      </c>
      <c r="J22" s="1">
        <v>1</v>
      </c>
      <c r="L22" s="5">
        <v>24</v>
      </c>
      <c r="M22" s="5">
        <v>6</v>
      </c>
      <c r="N22" s="71">
        <v>1</v>
      </c>
      <c r="P22" s="5">
        <f t="shared" ref="P22:P30" si="12">E22-C22</f>
        <v>9</v>
      </c>
      <c r="R22" s="67">
        <f>L22*N22-M22*(1-N22)</f>
        <v>24</v>
      </c>
      <c r="S22" s="67">
        <f t="shared" ref="S22:S30" si="13">P22/R22</f>
        <v>0.375</v>
      </c>
      <c r="U22" s="5">
        <v>1</v>
      </c>
      <c r="W22" s="5">
        <v>38</v>
      </c>
      <c r="X22" s="5">
        <f>P22/W22</f>
        <v>0.23684210526315788</v>
      </c>
    </row>
    <row r="23" spans="1:24" x14ac:dyDescent="0.2">
      <c r="B23" s="1">
        <v>2</v>
      </c>
      <c r="C23" s="95">
        <v>1010</v>
      </c>
      <c r="D23" s="95"/>
      <c r="E23" s="95">
        <v>1029</v>
      </c>
      <c r="F23" s="95"/>
      <c r="G23" s="95">
        <v>20</v>
      </c>
      <c r="H23" s="95"/>
      <c r="I23" s="4">
        <v>1.25</v>
      </c>
      <c r="J23" s="1">
        <v>2</v>
      </c>
      <c r="L23" s="5">
        <v>24</v>
      </c>
      <c r="M23" s="5">
        <v>6</v>
      </c>
      <c r="N23" s="71">
        <v>0.9</v>
      </c>
      <c r="P23" s="5">
        <f t="shared" si="12"/>
        <v>19</v>
      </c>
      <c r="R23" s="67">
        <f t="shared" ref="R23:R30" si="14">L23*N23-M23*(1-N23)</f>
        <v>21</v>
      </c>
      <c r="S23" s="67">
        <f t="shared" si="13"/>
        <v>0.90476190476190477</v>
      </c>
      <c r="U23" s="5">
        <v>1</v>
      </c>
      <c r="W23" s="5">
        <v>38</v>
      </c>
      <c r="X23" s="5">
        <f t="shared" ref="X23:X30" si="15">P23/W23</f>
        <v>0.5</v>
      </c>
    </row>
    <row r="24" spans="1:24" x14ac:dyDescent="0.2">
      <c r="B24" s="1">
        <v>3</v>
      </c>
      <c r="C24" s="95">
        <v>1030</v>
      </c>
      <c r="D24" s="95"/>
      <c r="E24" s="95">
        <v>1099</v>
      </c>
      <c r="F24" s="95"/>
      <c r="G24" s="95">
        <v>70</v>
      </c>
      <c r="H24" s="95"/>
      <c r="I24" s="4">
        <v>4.375</v>
      </c>
      <c r="J24" s="1">
        <v>3</v>
      </c>
      <c r="L24" s="5">
        <v>24</v>
      </c>
      <c r="M24" s="5">
        <v>6</v>
      </c>
      <c r="N24" s="71">
        <v>0.9</v>
      </c>
      <c r="P24" s="5">
        <f t="shared" si="12"/>
        <v>69</v>
      </c>
      <c r="R24" s="67">
        <f t="shared" si="14"/>
        <v>21</v>
      </c>
      <c r="S24" s="67">
        <f t="shared" si="13"/>
        <v>3.2857142857142856</v>
      </c>
      <c r="U24" s="5">
        <v>1</v>
      </c>
      <c r="W24" s="5">
        <v>38</v>
      </c>
      <c r="X24" s="5">
        <f t="shared" si="15"/>
        <v>1.8157894736842106</v>
      </c>
    </row>
    <row r="25" spans="1:24" x14ac:dyDescent="0.2">
      <c r="B25" s="1">
        <v>4</v>
      </c>
      <c r="C25" s="95">
        <v>1100</v>
      </c>
      <c r="D25" s="95"/>
      <c r="E25" s="95">
        <v>1299</v>
      </c>
      <c r="F25" s="95"/>
      <c r="G25" s="95">
        <v>200</v>
      </c>
      <c r="H25" s="95"/>
      <c r="I25" s="4">
        <v>12.5</v>
      </c>
      <c r="J25" s="1">
        <v>4</v>
      </c>
      <c r="L25" s="5">
        <v>24</v>
      </c>
      <c r="M25" s="5">
        <v>6</v>
      </c>
      <c r="N25" s="71">
        <v>0.8</v>
      </c>
      <c r="P25" s="5">
        <f t="shared" si="12"/>
        <v>199</v>
      </c>
      <c r="R25" s="67">
        <f t="shared" si="14"/>
        <v>18.000000000000004</v>
      </c>
      <c r="S25" s="67">
        <f t="shared" si="13"/>
        <v>11.055555555555554</v>
      </c>
      <c r="U25" s="5">
        <v>1</v>
      </c>
      <c r="W25" s="5">
        <v>38</v>
      </c>
      <c r="X25" s="5">
        <f t="shared" si="15"/>
        <v>5.2368421052631575</v>
      </c>
    </row>
    <row r="26" spans="1:24" x14ac:dyDescent="0.2">
      <c r="B26" s="1">
        <v>5</v>
      </c>
      <c r="C26" s="95">
        <v>1300</v>
      </c>
      <c r="D26" s="95"/>
      <c r="E26" s="95">
        <v>1799</v>
      </c>
      <c r="F26" s="95"/>
      <c r="G26" s="95">
        <v>500</v>
      </c>
      <c r="H26" s="95"/>
      <c r="I26" s="4">
        <v>31.25</v>
      </c>
      <c r="J26" s="1">
        <v>5</v>
      </c>
      <c r="L26" s="5">
        <v>24</v>
      </c>
      <c r="M26" s="5">
        <v>6</v>
      </c>
      <c r="N26" s="71">
        <v>0.8</v>
      </c>
      <c r="P26" s="5">
        <f t="shared" si="12"/>
        <v>499</v>
      </c>
      <c r="R26" s="67">
        <f t="shared" si="14"/>
        <v>18.000000000000004</v>
      </c>
      <c r="S26" s="67">
        <f t="shared" si="13"/>
        <v>27.722222222222218</v>
      </c>
      <c r="U26" s="5">
        <v>1</v>
      </c>
      <c r="W26" s="5">
        <v>38</v>
      </c>
      <c r="X26" s="5">
        <f t="shared" si="15"/>
        <v>13.131578947368421</v>
      </c>
    </row>
    <row r="27" spans="1:24" x14ac:dyDescent="0.2">
      <c r="B27" s="1">
        <v>6</v>
      </c>
      <c r="C27" s="95">
        <v>1800</v>
      </c>
      <c r="D27" s="95"/>
      <c r="E27" s="95">
        <v>2299</v>
      </c>
      <c r="F27" s="95"/>
      <c r="G27" s="95">
        <v>500</v>
      </c>
      <c r="H27" s="95"/>
      <c r="I27" s="4">
        <v>31.25</v>
      </c>
      <c r="J27" s="1">
        <v>6</v>
      </c>
      <c r="L27" s="5">
        <v>24</v>
      </c>
      <c r="M27" s="5">
        <v>6</v>
      </c>
      <c r="N27" s="71">
        <v>0.8</v>
      </c>
      <c r="P27" s="5">
        <f t="shared" si="12"/>
        <v>499</v>
      </c>
      <c r="R27" s="67">
        <f t="shared" si="14"/>
        <v>18.000000000000004</v>
      </c>
      <c r="S27" s="67">
        <f t="shared" si="13"/>
        <v>27.722222222222218</v>
      </c>
      <c r="U27" s="5">
        <v>1</v>
      </c>
      <c r="W27" s="5">
        <v>38</v>
      </c>
      <c r="X27" s="5">
        <f t="shared" si="15"/>
        <v>13.131578947368421</v>
      </c>
    </row>
    <row r="28" spans="1:24" x14ac:dyDescent="0.2">
      <c r="B28" s="1">
        <v>7</v>
      </c>
      <c r="C28" s="95">
        <v>2300</v>
      </c>
      <c r="D28" s="95"/>
      <c r="E28" s="95">
        <v>2749</v>
      </c>
      <c r="F28" s="95"/>
      <c r="G28" s="95">
        <v>450</v>
      </c>
      <c r="H28" s="95"/>
      <c r="I28" s="4">
        <v>28.125</v>
      </c>
      <c r="J28" s="1">
        <v>7</v>
      </c>
      <c r="L28" s="5">
        <v>24</v>
      </c>
      <c r="M28" s="5">
        <v>6</v>
      </c>
      <c r="N28" s="71">
        <v>0.7</v>
      </c>
      <c r="P28" s="5">
        <f t="shared" si="12"/>
        <v>449</v>
      </c>
      <c r="R28" s="67">
        <f t="shared" si="14"/>
        <v>14.999999999999996</v>
      </c>
      <c r="S28" s="67">
        <f t="shared" si="13"/>
        <v>29.933333333333341</v>
      </c>
      <c r="U28" s="5">
        <v>1</v>
      </c>
      <c r="W28" s="5">
        <v>38</v>
      </c>
      <c r="X28" s="5">
        <f t="shared" si="15"/>
        <v>11.815789473684211</v>
      </c>
    </row>
    <row r="29" spans="1:24" x14ac:dyDescent="0.2">
      <c r="B29" s="1">
        <v>8</v>
      </c>
      <c r="C29" s="95">
        <v>2750</v>
      </c>
      <c r="D29" s="95"/>
      <c r="E29" s="95">
        <v>3399</v>
      </c>
      <c r="F29" s="95"/>
      <c r="G29" s="95">
        <v>650</v>
      </c>
      <c r="H29" s="95"/>
      <c r="I29" s="4">
        <v>40.625</v>
      </c>
      <c r="J29" s="1">
        <v>8</v>
      </c>
      <c r="L29" s="5">
        <v>24</v>
      </c>
      <c r="M29" s="5">
        <v>6</v>
      </c>
      <c r="N29" s="71">
        <v>0.5</v>
      </c>
      <c r="P29" s="5">
        <f t="shared" si="12"/>
        <v>649</v>
      </c>
      <c r="R29" s="67">
        <f t="shared" si="14"/>
        <v>9</v>
      </c>
      <c r="S29" s="67">
        <f t="shared" si="13"/>
        <v>72.111111111111114</v>
      </c>
      <c r="U29" s="5">
        <v>1</v>
      </c>
      <c r="W29" s="5">
        <v>38</v>
      </c>
      <c r="X29" s="5">
        <f t="shared" si="15"/>
        <v>17.078947368421051</v>
      </c>
    </row>
    <row r="30" spans="1:24" x14ac:dyDescent="0.2">
      <c r="B30" s="1">
        <v>9</v>
      </c>
      <c r="C30" s="95">
        <v>3400</v>
      </c>
      <c r="D30" s="95" t="s">
        <v>19</v>
      </c>
      <c r="E30" s="95">
        <v>4299</v>
      </c>
      <c r="F30" s="95"/>
      <c r="G30" s="95">
        <v>900</v>
      </c>
      <c r="H30" s="95"/>
      <c r="I30" s="4">
        <v>56.25</v>
      </c>
      <c r="J30" s="1">
        <v>9</v>
      </c>
      <c r="L30" s="5">
        <v>24</v>
      </c>
      <c r="M30" s="5">
        <v>6</v>
      </c>
      <c r="N30" s="71">
        <v>0.5</v>
      </c>
      <c r="P30" s="5">
        <f t="shared" si="12"/>
        <v>899</v>
      </c>
      <c r="R30" s="67">
        <f t="shared" si="14"/>
        <v>9</v>
      </c>
      <c r="S30" s="67">
        <f t="shared" si="13"/>
        <v>99.888888888888886</v>
      </c>
      <c r="U30" s="5">
        <v>1</v>
      </c>
      <c r="W30" s="5">
        <v>38</v>
      </c>
      <c r="X30" s="5">
        <f t="shared" si="15"/>
        <v>23.657894736842106</v>
      </c>
    </row>
    <row r="31" spans="1:24" x14ac:dyDescent="0.2">
      <c r="B31" s="1">
        <v>10</v>
      </c>
      <c r="C31" s="95">
        <v>4300</v>
      </c>
      <c r="D31" s="95"/>
      <c r="E31" s="95" t="s">
        <v>19</v>
      </c>
      <c r="F31" s="95"/>
      <c r="G31" s="95"/>
      <c r="H31" s="95"/>
      <c r="I31" s="95"/>
      <c r="J31" s="1">
        <v>10</v>
      </c>
    </row>
    <row r="32" spans="1:24" x14ac:dyDescent="0.2">
      <c r="L32" s="5">
        <v>2100</v>
      </c>
      <c r="M32" s="5">
        <v>2000</v>
      </c>
      <c r="S32" s="5" t="s">
        <v>105</v>
      </c>
    </row>
    <row r="33" spans="1:24" x14ac:dyDescent="0.2">
      <c r="B33" s="5" t="s">
        <v>106</v>
      </c>
      <c r="N33" s="5">
        <f>C30-C22</f>
        <v>2400</v>
      </c>
      <c r="O33" s="5">
        <v>300</v>
      </c>
      <c r="P33" s="5">
        <v>330</v>
      </c>
      <c r="S33" s="54">
        <f>SUM(S22:S30)</f>
        <v>272.99880952380954</v>
      </c>
      <c r="X33" s="54">
        <f>SUM(X22:X30)</f>
        <v>86.60526315789474</v>
      </c>
    </row>
    <row r="34" spans="1:24" x14ac:dyDescent="0.2">
      <c r="C34" s="5" t="s">
        <v>107</v>
      </c>
      <c r="O34" s="5">
        <f>N33/O33</f>
        <v>8</v>
      </c>
    </row>
    <row r="35" spans="1:24" x14ac:dyDescent="0.2">
      <c r="N35" s="5">
        <f>C31-C30</f>
        <v>900</v>
      </c>
      <c r="O35" s="5">
        <f>N35/O33</f>
        <v>3</v>
      </c>
    </row>
    <row r="36" spans="1:24" x14ac:dyDescent="0.2">
      <c r="B36" s="5" t="s">
        <v>108</v>
      </c>
      <c r="G36" s="5" t="s">
        <v>10</v>
      </c>
      <c r="H36" s="5">
        <v>1</v>
      </c>
      <c r="I36" s="5">
        <v>2</v>
      </c>
      <c r="J36" s="5">
        <v>3</v>
      </c>
      <c r="K36" s="5">
        <v>4</v>
      </c>
      <c r="L36" s="5">
        <v>5</v>
      </c>
    </row>
    <row r="37" spans="1:24" x14ac:dyDescent="0.2">
      <c r="C37" s="5" t="s">
        <v>109</v>
      </c>
      <c r="G37" s="5">
        <v>20</v>
      </c>
      <c r="H37" s="5">
        <f>$G$37*H36*3</f>
        <v>60</v>
      </c>
      <c r="I37" s="5">
        <f t="shared" ref="I37:J37" si="16">$G$37*I36*3</f>
        <v>120</v>
      </c>
      <c r="J37" s="5">
        <f t="shared" si="16"/>
        <v>180</v>
      </c>
    </row>
    <row r="39" spans="1:24" x14ac:dyDescent="0.2">
      <c r="G39" s="5" t="s">
        <v>10</v>
      </c>
      <c r="H39" s="5">
        <v>20</v>
      </c>
      <c r="I39" s="5">
        <v>20</v>
      </c>
      <c r="J39" s="5">
        <v>20</v>
      </c>
    </row>
    <row r="40" spans="1:24" x14ac:dyDescent="0.2">
      <c r="E40" s="53"/>
      <c r="G40" s="5" t="s">
        <v>110</v>
      </c>
      <c r="H40" s="5">
        <f>H36*H36</f>
        <v>1</v>
      </c>
      <c r="I40" s="5">
        <f>I36*I36</f>
        <v>4</v>
      </c>
      <c r="J40" s="5">
        <f>J36*J36</f>
        <v>9</v>
      </c>
    </row>
    <row r="41" spans="1:24" x14ac:dyDescent="0.2">
      <c r="A41" s="5" t="s">
        <v>111</v>
      </c>
      <c r="H41" s="5">
        <f>H39*H40</f>
        <v>20</v>
      </c>
      <c r="I41" s="5">
        <f t="shared" ref="I41:J41" si="17">I39*I40</f>
        <v>80</v>
      </c>
      <c r="J41" s="5">
        <f t="shared" si="17"/>
        <v>180</v>
      </c>
    </row>
    <row r="42" spans="1:24" x14ac:dyDescent="0.2">
      <c r="G42" s="5" t="s">
        <v>112</v>
      </c>
      <c r="H42" s="5">
        <f>H$36*(H$36+1)</f>
        <v>2</v>
      </c>
      <c r="I42" s="5">
        <f>I$36*(I$36+1)</f>
        <v>6</v>
      </c>
      <c r="J42" s="5">
        <f>J$36*(J$36+1)</f>
        <v>12</v>
      </c>
      <c r="P42" s="53" t="s">
        <v>113</v>
      </c>
      <c r="Q42" s="53" t="s">
        <v>114</v>
      </c>
      <c r="R42" s="53" t="s">
        <v>115</v>
      </c>
    </row>
    <row r="43" spans="1:24" x14ac:dyDescent="0.2">
      <c r="H43" s="5">
        <f>H$39*H42</f>
        <v>40</v>
      </c>
      <c r="I43" s="5">
        <f>I$39*I42</f>
        <v>120</v>
      </c>
      <c r="J43" s="5">
        <f>J$39*J42</f>
        <v>240</v>
      </c>
      <c r="Q43" s="64">
        <v>60</v>
      </c>
      <c r="R43" s="64">
        <v>155</v>
      </c>
    </row>
    <row r="44" spans="1:24" x14ac:dyDescent="0.2">
      <c r="G44" s="5" t="s">
        <v>116</v>
      </c>
      <c r="H44" s="5">
        <f>H$36*H$36*H$36</f>
        <v>1</v>
      </c>
      <c r="I44" s="5">
        <f t="shared" ref="I44:J44" si="18">I$36*I$36*I$36</f>
        <v>8</v>
      </c>
      <c r="J44" s="5">
        <f t="shared" si="18"/>
        <v>27</v>
      </c>
    </row>
    <row r="45" spans="1:24" x14ac:dyDescent="0.2">
      <c r="H45" s="5">
        <f>H$39*H44</f>
        <v>20</v>
      </c>
      <c r="I45" s="5">
        <f>I$39*I44</f>
        <v>160</v>
      </c>
      <c r="J45" s="5">
        <f>J$39*J44</f>
        <v>540</v>
      </c>
      <c r="P45" s="64">
        <v>80</v>
      </c>
      <c r="Q45" s="5">
        <v>280</v>
      </c>
      <c r="R45" s="5">
        <v>720</v>
      </c>
    </row>
    <row r="46" spans="1:24" x14ac:dyDescent="0.2">
      <c r="E46" s="53"/>
      <c r="G46" s="5" t="s">
        <v>14</v>
      </c>
      <c r="H46" s="5">
        <f>D61/E61</f>
        <v>1</v>
      </c>
      <c r="I46" s="5">
        <f>D61/E61</f>
        <v>1</v>
      </c>
      <c r="J46" s="5">
        <f>D61/E61</f>
        <v>1</v>
      </c>
      <c r="O46" s="57"/>
      <c r="P46" s="6" t="s">
        <v>6</v>
      </c>
      <c r="Q46" s="6" t="s">
        <v>84</v>
      </c>
      <c r="R46" s="6" t="s">
        <v>85</v>
      </c>
      <c r="S46" s="6" t="s">
        <v>35</v>
      </c>
      <c r="T46" s="6" t="s">
        <v>36</v>
      </c>
      <c r="U46" s="41" t="s">
        <v>86</v>
      </c>
      <c r="V46" s="41" t="s">
        <v>117</v>
      </c>
    </row>
    <row r="47" spans="1:24" x14ac:dyDescent="0.2">
      <c r="E47" s="53"/>
      <c r="F47" s="5" t="s">
        <v>118</v>
      </c>
      <c r="G47" s="5" t="s">
        <v>119</v>
      </c>
      <c r="H47" s="5">
        <f>H45*H46</f>
        <v>20</v>
      </c>
      <c r="I47" s="5">
        <f t="shared" ref="I47:J47" si="19">I45*I46</f>
        <v>160</v>
      </c>
      <c r="J47" s="5">
        <f t="shared" si="19"/>
        <v>540</v>
      </c>
      <c r="O47" s="58">
        <v>1</v>
      </c>
      <c r="P47" s="7">
        <v>10000</v>
      </c>
      <c r="Q47" s="59">
        <f>P47-P45</f>
        <v>9920</v>
      </c>
      <c r="R47" s="59">
        <f>LOOKUP(Q47,[1]段位表!$C$3:$D$12,[1]段位表!$J$3:$J$12)</f>
        <v>10</v>
      </c>
      <c r="S47" s="60">
        <f t="shared" ref="S47:S52" si="20">1/(1+POWER(10,(Q47-P47)/400))</f>
        <v>0.61313682015314308</v>
      </c>
      <c r="T47" s="61">
        <f t="shared" ref="T47:T52" si="21">$E$3*(1-S47)</f>
        <v>12.379621755099421</v>
      </c>
      <c r="U47" s="62">
        <f t="shared" ref="U47:U52" si="22">$E$3*(0-S47)/2</f>
        <v>-9.8101891224502893</v>
      </c>
      <c r="V47" s="77">
        <f>U47/2</f>
        <v>-4.9050945612251446</v>
      </c>
    </row>
    <row r="48" spans="1:24" x14ac:dyDescent="0.2">
      <c r="E48" s="53"/>
      <c r="G48" s="8" t="s">
        <v>120</v>
      </c>
      <c r="H48" s="8">
        <f>H39+H47</f>
        <v>40</v>
      </c>
      <c r="I48" s="8">
        <f>I39+I47</f>
        <v>180</v>
      </c>
      <c r="J48" s="8">
        <f>J39+J47</f>
        <v>560</v>
      </c>
      <c r="O48" s="58">
        <v>1</v>
      </c>
      <c r="P48" s="7">
        <v>10000</v>
      </c>
      <c r="Q48" s="59">
        <f>P48+P45</f>
        <v>10080</v>
      </c>
      <c r="R48" s="59">
        <f>LOOKUP(Q48,[1]段位表!$C$3:$D$12,[1]段位表!$J$3:$J$12)</f>
        <v>10</v>
      </c>
      <c r="S48" s="60">
        <f t="shared" si="20"/>
        <v>0.38686317984685692</v>
      </c>
      <c r="T48" s="61">
        <f t="shared" si="21"/>
        <v>19.620378244900579</v>
      </c>
      <c r="U48" s="62">
        <f t="shared" si="22"/>
        <v>-6.1898108775497107</v>
      </c>
      <c r="V48" s="77">
        <f t="shared" ref="V48:V52" si="23">U48/2</f>
        <v>-3.0949054387748554</v>
      </c>
    </row>
    <row r="49" spans="4:26" x14ac:dyDescent="0.2">
      <c r="E49" s="53"/>
      <c r="G49" s="5" t="s">
        <v>121</v>
      </c>
      <c r="H49" s="5">
        <f>3*H47</f>
        <v>60</v>
      </c>
      <c r="I49" s="5">
        <f t="shared" ref="I49:J49" si="24">3*I47</f>
        <v>480</v>
      </c>
      <c r="J49" s="5">
        <f t="shared" si="24"/>
        <v>1620</v>
      </c>
      <c r="O49" s="58">
        <v>2</v>
      </c>
      <c r="P49" s="7">
        <v>10000</v>
      </c>
      <c r="Q49" s="59">
        <f>P49-Q45</f>
        <v>9720</v>
      </c>
      <c r="R49" s="59">
        <f>LOOKUP(Q49,[1]段位表!$C$3:$D$12,[1]段位表!$J$3:$J$12)</f>
        <v>10</v>
      </c>
      <c r="S49" s="60">
        <f t="shared" si="20"/>
        <v>0.83366246918343812</v>
      </c>
      <c r="T49" s="61">
        <f t="shared" si="21"/>
        <v>5.3228009861299803</v>
      </c>
      <c r="U49" s="62">
        <f t="shared" si="22"/>
        <v>-13.33859950693501</v>
      </c>
      <c r="V49" s="77">
        <f t="shared" si="23"/>
        <v>-6.6692997534675049</v>
      </c>
    </row>
    <row r="50" spans="4:26" x14ac:dyDescent="0.2">
      <c r="G50" s="8" t="s">
        <v>122</v>
      </c>
      <c r="H50" s="8">
        <f>H39+H49</f>
        <v>80</v>
      </c>
      <c r="I50" s="8">
        <f t="shared" ref="I50:J50" si="25">I39+I49</f>
        <v>500</v>
      </c>
      <c r="J50" s="8">
        <f t="shared" si="25"/>
        <v>1640</v>
      </c>
      <c r="O50" s="58">
        <v>2</v>
      </c>
      <c r="P50" s="7">
        <v>10000</v>
      </c>
      <c r="Q50" s="59">
        <f>P50+Q45</f>
        <v>10280</v>
      </c>
      <c r="R50" s="59">
        <f>LOOKUP(Q50,[1]段位表!$C$3:$D$12,[1]段位表!$J$3:$J$12)</f>
        <v>10</v>
      </c>
      <c r="S50" s="60">
        <f t="shared" si="20"/>
        <v>0.16633753081656188</v>
      </c>
      <c r="T50" s="61">
        <f t="shared" si="21"/>
        <v>26.67719901387002</v>
      </c>
      <c r="U50" s="62">
        <f t="shared" si="22"/>
        <v>-2.6614004930649902</v>
      </c>
      <c r="V50" s="77">
        <f t="shared" si="23"/>
        <v>-1.3307002465324951</v>
      </c>
    </row>
    <row r="51" spans="4:26" x14ac:dyDescent="0.2">
      <c r="G51" s="5" t="s">
        <v>123</v>
      </c>
      <c r="H51" s="5">
        <f>2*H47</f>
        <v>40</v>
      </c>
      <c r="I51" s="5">
        <f t="shared" ref="I51:J51" si="26">2*I47</f>
        <v>320</v>
      </c>
      <c r="J51" s="5">
        <f t="shared" si="26"/>
        <v>1080</v>
      </c>
      <c r="O51" s="58">
        <v>3</v>
      </c>
      <c r="P51" s="7">
        <v>10000</v>
      </c>
      <c r="Q51" s="59">
        <f>P51-R45</f>
        <v>9280</v>
      </c>
      <c r="R51" s="59">
        <f>LOOKUP(Q51,[1]段位表!$C$3:$D$12,[1]段位表!$J$3:$J$12)</f>
        <v>10</v>
      </c>
      <c r="S51" s="60">
        <f t="shared" si="20"/>
        <v>0.98439833775817043</v>
      </c>
      <c r="T51" s="61">
        <f t="shared" si="21"/>
        <v>0.49925319173854632</v>
      </c>
      <c r="U51" s="62">
        <f t="shared" si="22"/>
        <v>-15.750373404130727</v>
      </c>
      <c r="V51" s="77">
        <f t="shared" si="23"/>
        <v>-7.8751867020653634</v>
      </c>
    </row>
    <row r="52" spans="4:26" x14ac:dyDescent="0.2">
      <c r="G52" s="8" t="s">
        <v>124</v>
      </c>
      <c r="H52" s="8">
        <f>H41+H51</f>
        <v>60</v>
      </c>
      <c r="I52" s="8">
        <f t="shared" ref="I52:J52" si="27">I41+I51</f>
        <v>400</v>
      </c>
      <c r="J52" s="8">
        <f t="shared" si="27"/>
        <v>1260</v>
      </c>
      <c r="O52" s="58">
        <v>3</v>
      </c>
      <c r="P52" s="7">
        <v>10000</v>
      </c>
      <c r="Q52" s="59">
        <f>P52+R45</f>
        <v>10720</v>
      </c>
      <c r="R52" s="59">
        <f>LOOKUP(Q52,[1]段位表!$C$3:$D$12,[1]段位表!$J$3:$J$12)</f>
        <v>10</v>
      </c>
      <c r="S52" s="60">
        <f t="shared" si="20"/>
        <v>1.5601662241829593E-2</v>
      </c>
      <c r="T52" s="61">
        <f t="shared" si="21"/>
        <v>31.500746808261454</v>
      </c>
      <c r="U52" s="62">
        <f t="shared" si="22"/>
        <v>-0.24962659586927349</v>
      </c>
      <c r="V52" s="77">
        <f t="shared" si="23"/>
        <v>-0.12481329793463675</v>
      </c>
    </row>
    <row r="53" spans="4:26" x14ac:dyDescent="0.2">
      <c r="F53" s="5" t="s">
        <v>118</v>
      </c>
      <c r="G53" s="5" t="s">
        <v>125</v>
      </c>
      <c r="H53" s="5">
        <f>H39*H44*H46*H46</f>
        <v>20</v>
      </c>
      <c r="I53" s="5">
        <f t="shared" ref="I53:J53" si="28">I39*I44*I46*I46</f>
        <v>160</v>
      </c>
      <c r="J53" s="5">
        <f t="shared" si="28"/>
        <v>540</v>
      </c>
    </row>
    <row r="54" spans="4:26" x14ac:dyDescent="0.2">
      <c r="G54" s="8" t="s">
        <v>120</v>
      </c>
      <c r="H54" s="8">
        <f>H39+H53</f>
        <v>40</v>
      </c>
      <c r="I54" s="8">
        <f t="shared" ref="I54:J54" si="29">I39+I53</f>
        <v>180</v>
      </c>
      <c r="J54" s="8">
        <f t="shared" si="29"/>
        <v>560</v>
      </c>
    </row>
    <row r="55" spans="4:26" x14ac:dyDescent="0.2">
      <c r="G55" s="5" t="s">
        <v>126</v>
      </c>
      <c r="H55" s="5">
        <f>2*H53</f>
        <v>40</v>
      </c>
      <c r="I55" s="5">
        <f t="shared" ref="I55:J55" si="30">2*I53</f>
        <v>320</v>
      </c>
      <c r="J55" s="5">
        <f t="shared" si="30"/>
        <v>1080</v>
      </c>
    </row>
    <row r="56" spans="4:26" x14ac:dyDescent="0.2">
      <c r="G56" s="8" t="s">
        <v>124</v>
      </c>
      <c r="H56" s="8">
        <f>H39+H55</f>
        <v>60</v>
      </c>
      <c r="I56" s="8">
        <f t="shared" ref="I56:J56" si="31">I39+I55</f>
        <v>340</v>
      </c>
      <c r="J56" s="8">
        <f t="shared" si="31"/>
        <v>1100</v>
      </c>
    </row>
    <row r="57" spans="4:26" x14ac:dyDescent="0.2">
      <c r="G57" s="5" t="s">
        <v>127</v>
      </c>
      <c r="H57" s="5">
        <f>1.5*H53</f>
        <v>30</v>
      </c>
      <c r="I57" s="5">
        <f t="shared" ref="I57:J57" si="32">1.5*I53</f>
        <v>240</v>
      </c>
      <c r="J57" s="5">
        <f t="shared" si="32"/>
        <v>810</v>
      </c>
    </row>
    <row r="58" spans="4:26" x14ac:dyDescent="0.2">
      <c r="G58" s="8" t="s">
        <v>128</v>
      </c>
      <c r="H58" s="8">
        <f>H39+H57</f>
        <v>50</v>
      </c>
      <c r="I58" s="8">
        <f t="shared" ref="I58:J58" si="33">I39+I57</f>
        <v>260</v>
      </c>
      <c r="J58" s="8">
        <f t="shared" si="33"/>
        <v>830</v>
      </c>
    </row>
    <row r="59" spans="4:26" x14ac:dyDescent="0.2">
      <c r="F59" s="5" t="s">
        <v>118</v>
      </c>
      <c r="G59" s="5" t="s">
        <v>129</v>
      </c>
      <c r="H59" s="5">
        <f>H39*H40*H46*H46</f>
        <v>20</v>
      </c>
      <c r="I59" s="5">
        <f t="shared" ref="I59:J59" si="34">I39*I40*I46*I46</f>
        <v>80</v>
      </c>
      <c r="J59" s="5">
        <f t="shared" si="34"/>
        <v>180</v>
      </c>
    </row>
    <row r="60" spans="4:26" x14ac:dyDescent="0.2">
      <c r="D60" s="5" t="s">
        <v>6</v>
      </c>
      <c r="E60" s="5" t="s">
        <v>5</v>
      </c>
      <c r="H60" s="5" t="s">
        <v>113</v>
      </c>
      <c r="I60" s="5" t="s">
        <v>114</v>
      </c>
      <c r="J60" s="5" t="s">
        <v>115</v>
      </c>
    </row>
    <row r="61" spans="4:26" x14ac:dyDescent="0.2">
      <c r="D61" s="5">
        <v>10000</v>
      </c>
      <c r="E61" s="5">
        <v>10000</v>
      </c>
      <c r="G61" s="8" t="s">
        <v>120</v>
      </c>
      <c r="H61" s="8">
        <f>H37+H53</f>
        <v>80</v>
      </c>
      <c r="I61" s="8">
        <f t="shared" ref="I61:J61" si="35">I37+I53</f>
        <v>280</v>
      </c>
      <c r="J61" s="8">
        <f t="shared" si="35"/>
        <v>720</v>
      </c>
    </row>
    <row r="62" spans="4:26" x14ac:dyDescent="0.2">
      <c r="F62" s="57"/>
      <c r="G62" s="6" t="s">
        <v>6</v>
      </c>
      <c r="H62" s="6" t="s">
        <v>84</v>
      </c>
      <c r="I62" s="6" t="s">
        <v>85</v>
      </c>
      <c r="J62" s="6" t="s">
        <v>35</v>
      </c>
      <c r="K62" s="6" t="s">
        <v>36</v>
      </c>
      <c r="L62" s="41" t="s">
        <v>86</v>
      </c>
    </row>
    <row r="63" spans="4:26" ht="17.25" customHeight="1" x14ac:dyDescent="0.2">
      <c r="F63" s="58">
        <v>1</v>
      </c>
      <c r="G63" s="7">
        <v>10000</v>
      </c>
      <c r="H63" s="59">
        <f>G63+J54</f>
        <v>10560</v>
      </c>
      <c r="I63" s="59">
        <f>LOOKUP(H63,[1]段位表!$C$3:$D$12,[1]段位表!$J$3:$J$12)</f>
        <v>10</v>
      </c>
      <c r="J63" s="60">
        <f>1/(1+POWER(10,(H63-G63)/400))</f>
        <v>3.8286503882254734E-2</v>
      </c>
      <c r="K63" s="61">
        <f>$E$3*(1-J63)</f>
        <v>30.774831875767848</v>
      </c>
      <c r="L63" s="62">
        <f>$E$3*(0-J63)/2</f>
        <v>-0.61258406211607574</v>
      </c>
      <c r="M63" s="5">
        <f>L63/2</f>
        <v>-0.30629203105803787</v>
      </c>
      <c r="W63" s="66"/>
      <c r="X63" s="64"/>
      <c r="Y63" s="67"/>
      <c r="Z63" s="67"/>
    </row>
    <row r="65" spans="2:28" x14ac:dyDescent="0.2">
      <c r="B65" s="126" t="s">
        <v>76</v>
      </c>
      <c r="C65" s="127"/>
      <c r="D65" s="127"/>
      <c r="E65" s="127"/>
      <c r="F65" s="127"/>
      <c r="G65" s="127"/>
      <c r="H65" s="127"/>
      <c r="I65" s="127"/>
      <c r="J65" s="127"/>
      <c r="K65" s="127"/>
      <c r="L65" s="128"/>
    </row>
    <row r="66" spans="2:28" x14ac:dyDescent="0.2">
      <c r="B66" s="129" t="s">
        <v>77</v>
      </c>
      <c r="C66" s="130"/>
      <c r="D66" s="130"/>
      <c r="E66" s="130"/>
      <c r="F66" s="130"/>
      <c r="G66" s="130"/>
      <c r="H66" s="130"/>
      <c r="I66" s="130"/>
      <c r="J66" s="130"/>
      <c r="K66" s="130"/>
      <c r="L66" s="131"/>
    </row>
    <row r="67" spans="2:28" x14ac:dyDescent="0.2">
      <c r="B67" s="129" t="s">
        <v>0</v>
      </c>
      <c r="C67" s="130"/>
      <c r="D67" s="132"/>
      <c r="E67" s="55" t="s">
        <v>78</v>
      </c>
      <c r="F67" s="133" t="s">
        <v>79</v>
      </c>
      <c r="G67" s="130"/>
      <c r="H67" s="132"/>
      <c r="I67" s="108" t="s">
        <v>80</v>
      </c>
      <c r="J67" s="134"/>
      <c r="K67" s="134"/>
      <c r="L67" s="135"/>
    </row>
    <row r="68" spans="2:28" ht="17.25" thickBot="1" x14ac:dyDescent="0.25">
      <c r="B68" s="110">
        <v>10081</v>
      </c>
      <c r="C68" s="111"/>
      <c r="D68" s="112"/>
      <c r="E68" s="56">
        <v>10081</v>
      </c>
      <c r="F68" s="115">
        <v>8</v>
      </c>
      <c r="G68" s="111"/>
      <c r="H68" s="112"/>
      <c r="I68" s="115" t="e">
        <f>LOOKUP(B68,[1]段位表!C42:D51,[1]段位表!J42:J51)</f>
        <v>#N/A</v>
      </c>
      <c r="J68" s="111"/>
      <c r="K68" s="111"/>
      <c r="L68" s="116"/>
    </row>
    <row r="69" spans="2:28" x14ac:dyDescent="0.2">
      <c r="B69" s="117" t="s">
        <v>81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9"/>
    </row>
    <row r="70" spans="2:28" x14ac:dyDescent="0.2">
      <c r="B70" s="57"/>
      <c r="C70" s="6" t="s">
        <v>6</v>
      </c>
      <c r="D70" s="6" t="s">
        <v>4</v>
      </c>
      <c r="E70" s="6" t="s">
        <v>5</v>
      </c>
      <c r="F70" s="6" t="s">
        <v>18</v>
      </c>
      <c r="G70" s="6" t="s">
        <v>10</v>
      </c>
      <c r="H70" s="6" t="s">
        <v>84</v>
      </c>
      <c r="I70" s="6" t="s">
        <v>85</v>
      </c>
      <c r="J70" s="6" t="s">
        <v>35</v>
      </c>
      <c r="K70" s="6" t="s">
        <v>36</v>
      </c>
      <c r="L70" s="41" t="s">
        <v>86</v>
      </c>
    </row>
    <row r="71" spans="2:28" x14ac:dyDescent="0.2">
      <c r="B71" s="58">
        <v>1</v>
      </c>
      <c r="C71" s="7">
        <v>5000</v>
      </c>
      <c r="D71" s="7">
        <v>1000</v>
      </c>
      <c r="E71" s="7">
        <f>E68</f>
        <v>10081</v>
      </c>
      <c r="F71" s="7">
        <f>F68</f>
        <v>8</v>
      </c>
      <c r="G71" s="7">
        <v>20</v>
      </c>
      <c r="H71" s="59">
        <f>O96</f>
        <v>4920</v>
      </c>
      <c r="I71" s="59">
        <f>LOOKUP(H71,[1]段位表!$C$3:$D$12,[1]段位表!$J$3:$J$12)</f>
        <v>10</v>
      </c>
      <c r="J71" s="60">
        <f>1/(1+POWER(10,(H71-C71)/400))</f>
        <v>0.61313682015314308</v>
      </c>
      <c r="K71" s="61">
        <f>$E$3*(1-J71)</f>
        <v>12.379621755099421</v>
      </c>
      <c r="L71" s="62">
        <f>$E$3*(0-J71)/2</f>
        <v>-9.8101891224502893</v>
      </c>
      <c r="W71" s="66"/>
      <c r="X71" s="64"/>
      <c r="Y71" s="67"/>
      <c r="Z71" s="67"/>
    </row>
    <row r="72" spans="2:28" x14ac:dyDescent="0.2">
      <c r="B72" s="58">
        <v>2</v>
      </c>
      <c r="C72" s="7">
        <f>B68</f>
        <v>10081</v>
      </c>
      <c r="D72" s="7">
        <v>1000</v>
      </c>
      <c r="E72" s="7">
        <f>E68</f>
        <v>10081</v>
      </c>
      <c r="F72" s="7">
        <f>F68</f>
        <v>8</v>
      </c>
      <c r="G72" s="7">
        <v>20</v>
      </c>
      <c r="H72" s="59">
        <f>O97</f>
        <v>10035.959825414146</v>
      </c>
      <c r="I72" s="59">
        <f>LOOKUP(H72,[1]段位表!$C$3:$D$12,[1]段位表!$J$3:$J$12)</f>
        <v>10</v>
      </c>
      <c r="J72" s="60">
        <f>1/(1+POWER(10,(H72-C72)/400))</f>
        <v>0.56445734612233367</v>
      </c>
      <c r="K72" s="61">
        <f>$E$3*(1-J72)</f>
        <v>13.937364924085323</v>
      </c>
      <c r="L72" s="62">
        <f>$E$3*(0-J72)/2</f>
        <v>-9.0313175379573387</v>
      </c>
      <c r="Z72" s="67"/>
    </row>
    <row r="73" spans="2:28" ht="17.25" thickBot="1" x14ac:dyDescent="0.25">
      <c r="B73" s="68">
        <v>3</v>
      </c>
      <c r="C73" s="69">
        <f>B68</f>
        <v>10081</v>
      </c>
      <c r="D73" s="69">
        <v>1000</v>
      </c>
      <c r="E73" s="69">
        <f>E68</f>
        <v>10081</v>
      </c>
      <c r="F73" s="69">
        <f>F68</f>
        <v>8</v>
      </c>
      <c r="G73" s="69">
        <v>20</v>
      </c>
      <c r="H73" s="59">
        <f>O98</f>
        <v>10081</v>
      </c>
      <c r="I73" s="46">
        <f>LOOKUP(H73,[1]段位表!$C$3:$D$12,[1]段位表!$J$3:$J$12)</f>
        <v>10</v>
      </c>
      <c r="J73" s="47">
        <f>1/(1+POWER(10,(H73-C73)/400))</f>
        <v>0.5</v>
      </c>
      <c r="K73" s="43">
        <f>$E$3*(1-J73)</f>
        <v>16</v>
      </c>
      <c r="L73" s="70">
        <f>$E$3*(0-J73)/2</f>
        <v>-8</v>
      </c>
      <c r="W73" s="66"/>
      <c r="Y73" s="67"/>
      <c r="Z73" s="67"/>
    </row>
    <row r="74" spans="2:28" ht="17.25" thickBot="1" x14ac:dyDescent="0.25">
      <c r="B74" s="120" t="s">
        <v>97</v>
      </c>
      <c r="C74" s="121"/>
      <c r="D74" s="121"/>
      <c r="E74" s="121"/>
      <c r="F74" s="121"/>
      <c r="G74" s="121"/>
      <c r="H74" s="121"/>
      <c r="I74" s="121"/>
      <c r="J74" s="121"/>
      <c r="K74" s="121"/>
      <c r="L74" s="122"/>
      <c r="Y74" s="71"/>
      <c r="AA74" s="54"/>
      <c r="AB74" s="54"/>
    </row>
    <row r="75" spans="2:28" x14ac:dyDescent="0.2">
      <c r="B75" s="123" t="s">
        <v>98</v>
      </c>
      <c r="C75" s="124"/>
      <c r="D75" s="124"/>
      <c r="E75" s="124"/>
      <c r="F75" s="124"/>
      <c r="G75" s="124"/>
      <c r="H75" s="124"/>
      <c r="I75" s="124"/>
      <c r="J75" s="124"/>
      <c r="K75" s="124"/>
      <c r="L75" s="125"/>
      <c r="Y75" s="71"/>
      <c r="AA75" s="54"/>
      <c r="AB75" s="54"/>
    </row>
    <row r="76" spans="2:28" x14ac:dyDescent="0.2">
      <c r="B76" s="105" t="s">
        <v>6</v>
      </c>
      <c r="C76" s="106"/>
      <c r="D76" s="106"/>
      <c r="E76" s="107"/>
      <c r="F76" s="108" t="s">
        <v>80</v>
      </c>
      <c r="G76" s="109"/>
      <c r="H76" s="72" t="s">
        <v>84</v>
      </c>
      <c r="I76" s="6" t="s">
        <v>85</v>
      </c>
      <c r="J76" s="6" t="s">
        <v>35</v>
      </c>
      <c r="K76" s="6" t="s">
        <v>36</v>
      </c>
      <c r="L76" s="41" t="s">
        <v>86</v>
      </c>
    </row>
    <row r="77" spans="2:28" ht="17.25" thickBot="1" x14ac:dyDescent="0.25">
      <c r="B77" s="110">
        <v>5000</v>
      </c>
      <c r="C77" s="111"/>
      <c r="D77" s="111"/>
      <c r="E77" s="112"/>
      <c r="F77" s="113">
        <f>LOOKUP(B77,[1]段位表!$C$3:$D$12,[1]段位表!$J$3:$J$12)</f>
        <v>10</v>
      </c>
      <c r="G77" s="114"/>
      <c r="H77" s="73">
        <v>5000</v>
      </c>
      <c r="I77" s="73">
        <f>LOOKUP(H77,[1]段位表!$C$3:$D$12,[1]段位表!$J$3:$J$12)</f>
        <v>10</v>
      </c>
      <c r="J77" s="47">
        <f>1/(1+POWER(10,(H77-B77)/400))</f>
        <v>0.5</v>
      </c>
      <c r="K77" s="43">
        <f>$E$3*(1-J77)</f>
        <v>16</v>
      </c>
      <c r="L77" s="70">
        <f>$E$3*(0-J77)/2</f>
        <v>-8</v>
      </c>
    </row>
    <row r="94" spans="13:22" x14ac:dyDescent="0.2">
      <c r="Q94" s="103">
        <f>H37</f>
        <v>60</v>
      </c>
      <c r="R94" s="104"/>
      <c r="S94" s="103">
        <f>I37</f>
        <v>120</v>
      </c>
      <c r="T94" s="104"/>
      <c r="U94" s="103">
        <f>J37</f>
        <v>180</v>
      </c>
      <c r="V94" s="104"/>
    </row>
    <row r="95" spans="13:22" x14ac:dyDescent="0.2">
      <c r="M95" s="5" t="s">
        <v>87</v>
      </c>
      <c r="N95" s="5" t="s">
        <v>88</v>
      </c>
      <c r="O95" s="53" t="s">
        <v>89</v>
      </c>
      <c r="P95" s="8"/>
      <c r="Q95" s="103" t="s">
        <v>130</v>
      </c>
      <c r="R95" s="104"/>
      <c r="S95" s="103" t="s">
        <v>131</v>
      </c>
      <c r="T95" s="104"/>
      <c r="U95" s="103" t="s">
        <v>132</v>
      </c>
      <c r="V95" s="104"/>
    </row>
    <row r="96" spans="13:22" x14ac:dyDescent="0.2">
      <c r="M96" s="54">
        <f>K71*1.5</f>
        <v>18.569432632649132</v>
      </c>
      <c r="N96" s="54">
        <f>L71/4</f>
        <v>-2.4525472806125723</v>
      </c>
      <c r="O96" s="63">
        <f>C71-(1.7*D71*(C71-D71))/(C71*(F71+9))</f>
        <v>4920</v>
      </c>
      <c r="P96" s="54"/>
      <c r="Q96" s="9">
        <f>O96-Q94</f>
        <v>4860</v>
      </c>
      <c r="R96" s="9">
        <f>O96+Q94</f>
        <v>4980</v>
      </c>
      <c r="S96" s="9">
        <f>O96-S94</f>
        <v>4800</v>
      </c>
      <c r="T96" s="9">
        <f>O96+S94</f>
        <v>5040</v>
      </c>
      <c r="U96" s="9">
        <f>O96-U94</f>
        <v>4740</v>
      </c>
      <c r="V96" s="9">
        <f>O96+U94</f>
        <v>5100</v>
      </c>
    </row>
    <row r="97" spans="13:22" x14ac:dyDescent="0.2">
      <c r="M97" s="54">
        <f>K72*1.5</f>
        <v>20.906047386127984</v>
      </c>
      <c r="N97" s="54">
        <f>L72/4</f>
        <v>-2.2578293844893347</v>
      </c>
      <c r="O97" s="63">
        <f>C72+((0.1*C72*(E72-C72)*(F72+9))/(34*E72))-((1.7*D72*(C72-D72))/(2*C72*(F72+9)))</f>
        <v>10035.959825414146</v>
      </c>
      <c r="P97" s="54"/>
      <c r="Q97" s="9">
        <f>O97-Q94</f>
        <v>9975.9598254141456</v>
      </c>
      <c r="R97" s="9">
        <f>O97+Q94</f>
        <v>10095.959825414146</v>
      </c>
      <c r="S97" s="9">
        <f>O97-S94</f>
        <v>9915.9598254141456</v>
      </c>
      <c r="T97" s="9">
        <f>O97+S94</f>
        <v>10155.959825414146</v>
      </c>
      <c r="U97" s="9">
        <f>O97-U94</f>
        <v>9855.9598254141456</v>
      </c>
      <c r="V97" s="9">
        <f>O97+U94</f>
        <v>10215.959825414146</v>
      </c>
    </row>
    <row r="98" spans="13:22" x14ac:dyDescent="0.2">
      <c r="M98" s="54">
        <f>K73*1.5</f>
        <v>24</v>
      </c>
      <c r="N98" s="54">
        <f>L73/4</f>
        <v>-2</v>
      </c>
      <c r="O98" s="63">
        <f>C73+(0.1*C73*(E73-C73)*(F73+9))/(17*E73)</f>
        <v>10081</v>
      </c>
      <c r="P98" s="54"/>
      <c r="Q98" s="9">
        <f>O98-Q94</f>
        <v>10021</v>
      </c>
      <c r="R98" s="9">
        <f>O98+Q94</f>
        <v>10141</v>
      </c>
      <c r="S98" s="9">
        <f>O98-S94</f>
        <v>9961</v>
      </c>
      <c r="T98" s="9">
        <f>O98+S94</f>
        <v>10201</v>
      </c>
      <c r="U98" s="9">
        <f>O98-U94</f>
        <v>9901</v>
      </c>
      <c r="V98" s="9">
        <f>O98+U94</f>
        <v>10261</v>
      </c>
    </row>
    <row r="99" spans="13:22" x14ac:dyDescent="0.2">
      <c r="O99" s="63"/>
      <c r="Q99" s="102">
        <f>H45</f>
        <v>20</v>
      </c>
      <c r="R99" s="102"/>
      <c r="S99" s="102">
        <f>I45</f>
        <v>160</v>
      </c>
      <c r="T99" s="102"/>
      <c r="U99" s="102">
        <f>J45</f>
        <v>540</v>
      </c>
      <c r="V99" s="102"/>
    </row>
    <row r="100" spans="13:22" x14ac:dyDescent="0.2">
      <c r="N100" s="67"/>
      <c r="O100" s="53" t="s">
        <v>89</v>
      </c>
      <c r="Q100" s="102" t="s">
        <v>130</v>
      </c>
      <c r="R100" s="102"/>
      <c r="S100" s="102" t="s">
        <v>131</v>
      </c>
      <c r="T100" s="102"/>
      <c r="U100" s="102" t="s">
        <v>132</v>
      </c>
      <c r="V100" s="102"/>
    </row>
    <row r="101" spans="13:22" x14ac:dyDescent="0.2">
      <c r="N101" s="67"/>
      <c r="O101" s="63">
        <f>O96</f>
        <v>4920</v>
      </c>
      <c r="P101" s="54"/>
      <c r="Q101" s="9">
        <f>O101+$Q$99</f>
        <v>4940</v>
      </c>
      <c r="R101" s="9">
        <f>O101+Q99</f>
        <v>4940</v>
      </c>
      <c r="S101" s="9">
        <f>O101-S99</f>
        <v>4760</v>
      </c>
      <c r="T101" s="9">
        <f>O101+S99</f>
        <v>5080</v>
      </c>
      <c r="U101" s="9">
        <f>O101-U99</f>
        <v>4380</v>
      </c>
      <c r="V101" s="9">
        <f>O101+U99</f>
        <v>5460</v>
      </c>
    </row>
    <row r="102" spans="13:22" x14ac:dyDescent="0.2">
      <c r="N102" s="67"/>
      <c r="O102" s="63">
        <f t="shared" ref="O102:O103" si="36">O97</f>
        <v>10035.959825414146</v>
      </c>
      <c r="P102" s="54"/>
      <c r="Q102" s="9">
        <f>O102+$Q$99</f>
        <v>10055.959825414146</v>
      </c>
      <c r="R102" s="9">
        <f>O102+Q99</f>
        <v>10055.959825414146</v>
      </c>
      <c r="S102" s="9">
        <f>O102-S99</f>
        <v>9875.9598254141456</v>
      </c>
      <c r="T102" s="9">
        <f>O102+S99</f>
        <v>10195.959825414146</v>
      </c>
      <c r="U102" s="9">
        <f>O102-U99</f>
        <v>9495.9598254141456</v>
      </c>
      <c r="V102" s="9">
        <f>O102+U99</f>
        <v>10575.959825414146</v>
      </c>
    </row>
    <row r="103" spans="13:22" x14ac:dyDescent="0.2">
      <c r="O103" s="63">
        <f t="shared" si="36"/>
        <v>10081</v>
      </c>
      <c r="P103" s="54"/>
      <c r="Q103" s="9">
        <f>O103+$Q$99</f>
        <v>10101</v>
      </c>
      <c r="R103" s="9">
        <f>O103+Q99</f>
        <v>10101</v>
      </c>
      <c r="S103" s="9">
        <f>O103-S99</f>
        <v>9921</v>
      </c>
      <c r="T103" s="9">
        <f>O103+S99</f>
        <v>10241</v>
      </c>
      <c r="U103" s="9">
        <f>O103-U99</f>
        <v>9541</v>
      </c>
      <c r="V103" s="9">
        <f>O103+U99</f>
        <v>10621</v>
      </c>
    </row>
    <row r="104" spans="13:22" x14ac:dyDescent="0.2">
      <c r="O104" s="54"/>
      <c r="P104" s="54"/>
      <c r="R104" s="54"/>
      <c r="S104" s="54"/>
      <c r="U104" s="54"/>
      <c r="V104" s="54"/>
    </row>
  </sheetData>
  <mergeCells count="74">
    <mergeCell ref="B16:E16"/>
    <mergeCell ref="F16:G16"/>
    <mergeCell ref="B4:L4"/>
    <mergeCell ref="B5:L5"/>
    <mergeCell ref="B6:D6"/>
    <mergeCell ref="F6:H6"/>
    <mergeCell ref="I6:L6"/>
    <mergeCell ref="B7:D7"/>
    <mergeCell ref="F7:H7"/>
    <mergeCell ref="I7:L7"/>
    <mergeCell ref="B8:L8"/>
    <mergeCell ref="B13:L13"/>
    <mergeCell ref="B14:L14"/>
    <mergeCell ref="B15:E15"/>
    <mergeCell ref="F15:G15"/>
    <mergeCell ref="C21:D21"/>
    <mergeCell ref="E21:F21"/>
    <mergeCell ref="G21:H21"/>
    <mergeCell ref="C22:D22"/>
    <mergeCell ref="E22:F22"/>
    <mergeCell ref="G22:H22"/>
    <mergeCell ref="C23:D23"/>
    <mergeCell ref="E23:F23"/>
    <mergeCell ref="G23:H23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75:L75"/>
    <mergeCell ref="C31:D31"/>
    <mergeCell ref="E31:I31"/>
    <mergeCell ref="B65:L65"/>
    <mergeCell ref="B66:L66"/>
    <mergeCell ref="B67:D67"/>
    <mergeCell ref="F67:H67"/>
    <mergeCell ref="I67:L67"/>
    <mergeCell ref="B68:D68"/>
    <mergeCell ref="F68:H68"/>
    <mergeCell ref="I68:L68"/>
    <mergeCell ref="B69:L69"/>
    <mergeCell ref="B74:L74"/>
    <mergeCell ref="B76:E76"/>
    <mergeCell ref="F76:G76"/>
    <mergeCell ref="B77:E77"/>
    <mergeCell ref="F77:G77"/>
    <mergeCell ref="Q94:R94"/>
    <mergeCell ref="Q100:R100"/>
    <mergeCell ref="S100:T100"/>
    <mergeCell ref="U100:V100"/>
    <mergeCell ref="U94:V94"/>
    <mergeCell ref="Q95:R95"/>
    <mergeCell ref="S95:T95"/>
    <mergeCell ref="U95:V95"/>
    <mergeCell ref="Q99:R99"/>
    <mergeCell ref="S99:T99"/>
    <mergeCell ref="U99:V99"/>
    <mergeCell ref="S94:T9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需求主页</vt:lpstr>
      <vt:lpstr>公式演算</vt:lpstr>
      <vt:lpstr>草稿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2015-06-05T18:19:00Z</dcterms:created>
  <dcterms:modified xsi:type="dcterms:W3CDTF">2022-09-23T08:08:08Z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BDF4027FD89341E6A0278850F4B17548</vt:lpwstr>
  </property>
  <property fmtid="{D5CDD505-2E9C-101B-9397-08002B2CF9AE}" pid="3" name="KSOProductBuildVer">
    <vt:lpwstr>2052-11.1.0.12358</vt:lpwstr>
  </property>
</Properties>
</file>